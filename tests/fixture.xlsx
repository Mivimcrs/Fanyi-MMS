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2255" tabRatio="600" firstSheet="0" activeTab="0" autoFilterDateGrouping="1"/>
  </bookViews>
  <sheets>
    <sheet name="会员档案" sheetId="1" state="visible" r:id="rId1"/>
    <sheet name="上课记录" sheetId="2" state="visible" r:id="rId2"/>
    <sheet name="实时看板" sheetId="3" state="visible" r:id="rId3"/>
    <sheet name="沉睡客户跟进" sheetId="4" state="visible" r:id="rId4"/>
    <sheet name="使用说明" sheetId="5" state="visible" r:id="rId5"/>
  </sheets>
  <definedNames>
    <definedName name="切片器_上课日期">#N/A</definedName>
    <definedName name="切片器_负责老师">#N/A</definedName>
    <definedName name="切片器_卡种">#N/A</definedName>
    <definedName name="_xlnm._FilterDatabase" localSheetId="0" hidden="1">'会员档案'!$A$1:$W$504</definedName>
    <definedName name="_xlnm._FilterDatabase" localSheetId="1" hidden="1">'上课记录'!$A$1:$N$199</definedName>
    <definedName name="_xlnm._FilterDatabase" localSheetId="3" hidden="1">'沉睡客户跟进'!$A$1:$K$499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20"/>
      <scheme val="minor"/>
    </font>
    <font>
      <name val="Consolas"/>
      <charset val="134"/>
      <color rgb="FF393A34"/>
      <sz val="9.75"/>
    </font>
    <font>
      <name val="Consolas"/>
      <charset val="134"/>
      <color rgb="FF0D0D0D"/>
      <sz val="10.5"/>
    </font>
    <font>
      <name val="宋体"/>
      <charset val="134"/>
      <b val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medium">
        <color auto="1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5" borderId="1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5" applyAlignment="1">
      <alignment vertical="center"/>
    </xf>
    <xf numFmtId="0" fontId="13" fillId="0" borderId="15" applyAlignment="1">
      <alignment vertical="center"/>
    </xf>
    <xf numFmtId="0" fontId="14" fillId="0" borderId="16" applyAlignment="1">
      <alignment vertical="center"/>
    </xf>
    <xf numFmtId="0" fontId="14" fillId="0" borderId="0" applyAlignment="1">
      <alignment vertical="center"/>
    </xf>
    <xf numFmtId="0" fontId="15" fillId="6" borderId="17" applyAlignment="1">
      <alignment vertical="center"/>
    </xf>
    <xf numFmtId="0" fontId="16" fillId="7" borderId="18" applyAlignment="1">
      <alignment vertical="center"/>
    </xf>
    <xf numFmtId="0" fontId="17" fillId="7" borderId="17" applyAlignment="1">
      <alignment vertical="center"/>
    </xf>
    <xf numFmtId="0" fontId="18" fillId="8" borderId="19" applyAlignment="1">
      <alignment vertical="center"/>
    </xf>
    <xf numFmtId="0" fontId="19" fillId="0" borderId="20" applyAlignment="1">
      <alignment vertical="center"/>
    </xf>
    <xf numFmtId="0" fontId="20" fillId="0" borderId="21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6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4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0" fontId="0" fillId="3" borderId="1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/>
    </xf>
    <xf numFmtId="20" fontId="0" fillId="3" borderId="0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165" fontId="0" fillId="3" borderId="0" applyAlignment="1" pivotButton="0" quotePrefix="0" xfId="0">
      <alignment horizontal="center"/>
    </xf>
    <xf numFmtId="0" fontId="0" fillId="3" borderId="9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4" borderId="10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/>
    </xf>
    <xf numFmtId="165" fontId="0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6" fillId="4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4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Q1" sqref="Q$1:Q$1048576"/>
    </sheetView>
  </sheetViews>
  <sheetFormatPr baseColWidth="8" defaultColWidth="9" defaultRowHeight="13.5" outlineLevelCol="0"/>
  <cols>
    <col width="12" customWidth="1" style="35" min="1" max="1"/>
    <col width="12" customWidth="1" style="28" min="2" max="2"/>
    <col width="15" customWidth="1" style="28" min="3" max="3"/>
    <col width="12" customWidth="1" style="28" min="4" max="4"/>
    <col width="14" customWidth="1" style="28" min="5" max="5"/>
    <col width="12" customWidth="1" style="28" min="6" max="6"/>
    <col width="12" customWidth="1" style="50" min="7" max="9"/>
    <col width="12" customWidth="1" style="28" min="10" max="10"/>
    <col width="12" customWidth="1" style="51" min="11" max="11"/>
    <col width="10" customWidth="1" style="29" min="12" max="12"/>
    <col width="10" customWidth="1" style="37" min="13" max="13"/>
    <col width="11" customWidth="1" style="29" min="14" max="16"/>
    <col width="16.175" customWidth="1" style="29" min="17" max="17"/>
    <col width="14.675" customWidth="1" style="29" min="18" max="18"/>
    <col width="14" customWidth="1" style="52" min="19" max="19"/>
    <col width="14" customWidth="1" style="29" min="20" max="21"/>
    <col width="9.43333333333333" customWidth="1" style="28" min="22" max="22"/>
    <col width="24" customWidth="1" style="28" min="23" max="23"/>
    <col width="9" customWidth="1" style="29" min="24" max="16384"/>
  </cols>
  <sheetData>
    <row r="1">
      <c r="A1" s="39" t="inlineStr">
        <is>
          <t>会员编号</t>
        </is>
      </c>
      <c r="B1" s="30" t="inlineStr">
        <is>
          <t>会员姓名</t>
        </is>
      </c>
      <c r="C1" s="30" t="inlineStr">
        <is>
          <t>手机号</t>
        </is>
      </c>
      <c r="D1" s="30" t="inlineStr">
        <is>
          <t>负责老师</t>
        </is>
      </c>
      <c r="E1" s="30" t="inlineStr">
        <is>
          <t>会员类型</t>
        </is>
      </c>
      <c r="F1" s="30" t="inlineStr">
        <is>
          <t>卡种</t>
        </is>
      </c>
      <c r="G1" s="30" t="inlineStr">
        <is>
          <t>购买日期</t>
        </is>
      </c>
      <c r="H1" s="30" t="inlineStr">
        <is>
          <t>开卡日期</t>
        </is>
      </c>
      <c r="I1" s="30" t="inlineStr">
        <is>
          <t>有效期至</t>
        </is>
      </c>
      <c r="J1" s="30" t="inlineStr">
        <is>
          <t>实收金额</t>
        </is>
      </c>
      <c r="K1" s="53" t="inlineStr">
        <is>
          <t>应收金额</t>
        </is>
      </c>
      <c r="L1" s="41" t="inlineStr">
        <is>
          <t>尾款</t>
        </is>
      </c>
      <c r="M1" s="42" t="inlineStr">
        <is>
          <t>总次数</t>
        </is>
      </c>
      <c r="N1" s="43" t="inlineStr">
        <is>
          <t>已消耗次数</t>
        </is>
      </c>
      <c r="O1" s="6" t="inlineStr">
        <is>
          <t>剩余次数</t>
        </is>
      </c>
      <c r="P1" s="6" t="inlineStr">
        <is>
          <t>剩余天数</t>
        </is>
      </c>
      <c r="Q1" s="6" t="inlineStr">
        <is>
          <t>课程单价</t>
        </is>
      </c>
      <c r="R1" s="6" t="inlineStr">
        <is>
          <t>剩余课程总额</t>
        </is>
      </c>
      <c r="S1" s="54" t="inlineStr">
        <is>
          <t>最后上课日期</t>
        </is>
      </c>
      <c r="T1" s="6" t="inlineStr">
        <is>
          <t>连续未到天数</t>
        </is>
      </c>
      <c r="U1" s="6" t="inlineStr">
        <is>
          <t>会员状态</t>
        </is>
      </c>
      <c r="V1" s="6" t="inlineStr">
        <is>
          <t>退卡</t>
        </is>
      </c>
      <c r="W1" s="6" t="inlineStr">
        <is>
          <t>备注</t>
        </is>
      </c>
    </row>
    <row r="2">
      <c r="A2" s="44" t="inlineStr">
        <is>
          <t>M001</t>
        </is>
      </c>
      <c r="B2" s="11" t="inlineStr">
        <is>
          <t>白龙马</t>
        </is>
      </c>
      <c r="C2" s="11" t="n">
        <v>13879881122</v>
      </c>
      <c r="D2" s="11" t="inlineStr">
        <is>
          <t>唐老师</t>
        </is>
      </c>
      <c r="E2" s="11" t="inlineStr">
        <is>
          <t>私教</t>
        </is>
      </c>
      <c r="F2" s="11" t="inlineStr">
        <is>
          <t>期限卡</t>
        </is>
      </c>
      <c r="G2" s="55" t="n">
        <v>46204</v>
      </c>
      <c r="H2" s="55" t="n">
        <v>46241</v>
      </c>
      <c r="I2" s="55" t="n">
        <v>46272</v>
      </c>
      <c r="J2" s="56" t="n">
        <v>500</v>
      </c>
      <c r="K2" s="56" t="n">
        <v>4599</v>
      </c>
      <c r="L2" s="46">
        <f>K2-J2</f>
        <v/>
      </c>
      <c r="M2" s="47" t="n"/>
      <c r="N2" s="48">
        <f>COUNTIFS(上课记录!$B:$B,A2,上课记录!$J:$J,"是")</f>
        <v/>
      </c>
      <c r="O2" s="31">
        <f>IF(F2="次卡",MAX(0,M2-N2),"—")</f>
        <v/>
      </c>
      <c r="P2" s="31">
        <f>IF(F2="期限卡",MAX(0,I2-TODAY()),"—")</f>
        <v/>
      </c>
      <c r="Q2" s="31">
        <f>IF(A2="","",IF(F2="次卡",IF(OR(K2="",K2=0,M2=0),"",K2/M2),IF(F2="期限卡",IF(AND(K2&lt;&gt;"",K2&lt;&gt;0,I2&gt;H2),K2/(I2-H2),""),"")))</f>
        <v/>
      </c>
      <c r="R2" s="31">
        <f>IF(A2="","",IF(F2="次卡",IF(OR(K2="",K2=0,M2=0),"",Q2*O2),IF(F2="期限卡",IF(AND(K2&lt;&gt;"",K2&lt;&gt;0,I2&gt;H2),Q2*P2,""),"")))</f>
        <v/>
      </c>
      <c r="S2" s="57">
        <f>IF(A2="","",IF(COUNTIFS(上课记录!$B:$B,A2,上课记录!$J:$J,"是")&gt;0,_xlfn.MAXIFS(上课记录!$D:$D,上课记录!$B:$B,A2,上课记录!$J:$J,"是"),IF(H2&gt;0,H2,"未上课")))</f>
        <v/>
      </c>
      <c r="T2" s="31">
        <f>IF(A2="",0,IF(S2="未上课",0,IF(S2="",0,TODAY()-S2)))</f>
        <v/>
      </c>
      <c r="U2" s="31">
        <f>IF(OR(AND(F2="次卡",O2=0),AND(F2="期限卡",P2=0)),IF(H2="","待开卡","已到期"),IF(T2&gt;=10,"沉睡客户",IF(T2&gt;=7,"预警客户",IF(T2=0,IF(A2="","待更新","正常"),"正常"))))</f>
        <v/>
      </c>
      <c r="V2" s="11" t="n"/>
      <c r="W2" s="11" t="n"/>
    </row>
    <row r="3">
      <c r="A3" s="44" t="inlineStr">
        <is>
          <t>M002</t>
        </is>
      </c>
      <c r="B3" s="11" t="inlineStr">
        <is>
          <t>孙悟空</t>
        </is>
      </c>
      <c r="C3" s="11" t="n">
        <v>13800000000</v>
      </c>
      <c r="D3" s="11" t="inlineStr">
        <is>
          <t>唐老师</t>
        </is>
      </c>
      <c r="E3" s="11" t="inlineStr">
        <is>
          <t>普拉提小班</t>
        </is>
      </c>
      <c r="F3" s="11" t="inlineStr">
        <is>
          <t>期限卡</t>
        </is>
      </c>
      <c r="G3" s="55" t="n">
        <v>46262</v>
      </c>
      <c r="H3" s="55" t="n">
        <v>46262</v>
      </c>
      <c r="I3" s="55" t="n">
        <v>46626</v>
      </c>
      <c r="J3" s="56" t="n">
        <v>1000</v>
      </c>
      <c r="K3" s="56" t="n">
        <v>5899</v>
      </c>
      <c r="L3" s="46">
        <f>K3-J3</f>
        <v/>
      </c>
      <c r="M3" s="47" t="n"/>
      <c r="N3" s="48">
        <f>COUNTIFS(上课记录!$B:$B,A3,上课记录!$J:$J,"是")</f>
        <v/>
      </c>
      <c r="O3" s="31">
        <f>IF(F3="次卡",MAX(0,M3-N3),"—")</f>
        <v/>
      </c>
      <c r="P3" s="31">
        <f>IF(F3="期限卡",MAX(0,I3-TODAY()),"—")</f>
        <v/>
      </c>
      <c r="Q3" s="31">
        <f>IF(A3="","",IF(F3="次卡",IF(OR(K3="",K3=0,M3=0),"",K3/M3),IF(F3="期限卡",IF(AND(K3&lt;&gt;"",K3&lt;&gt;0,I3&gt;H3),K3/(I3-H3),""),"")))</f>
        <v/>
      </c>
      <c r="R3" s="31">
        <f>IF(A3="","",IF(F3="次卡",IF(OR(K3="",K3=0,M3=0),"",Q3*O3),IF(F3="期限卡",IF(AND(K3&lt;&gt;"",K3&lt;&gt;0,I3&gt;H3),Q3*P3,""),"")))</f>
        <v/>
      </c>
      <c r="S3" s="57">
        <f>IF(A3="","",IF(COUNTIFS(上课记录!$B:$B,A3,上课记录!$J:$J,"是")&gt;0,_xlfn.MAXIFS(上课记录!$D:$D,上课记录!$B:$B,A3,上课记录!$J:$J,"是"),IF(H3&gt;0,H3,"未上课")))</f>
        <v/>
      </c>
      <c r="T3" s="31">
        <f>IF(A3="",0,IF(S3="未上课",0,IF(S3="",0,TODAY()-S3)))</f>
        <v/>
      </c>
      <c r="U3" s="31">
        <f>IF(OR(AND(F3="次卡",O3=0),AND(F3="期限卡",P3=0)),IF(H3="","待开卡","已到期"),IF(T3&gt;=10,"沉睡客户",IF(T3&gt;=7,"预警客户",IF(T3=0,IF(A3="","待更新","正常"),"正常"))))</f>
        <v/>
      </c>
      <c r="V3" s="11" t="n"/>
      <c r="W3" s="11" t="n"/>
    </row>
    <row r="4">
      <c r="A4" s="44" t="inlineStr">
        <is>
          <t>M003</t>
        </is>
      </c>
      <c r="B4" s="11" t="inlineStr">
        <is>
          <t>猪八戒</t>
        </is>
      </c>
      <c r="C4" s="11" t="n">
        <v>13711112222</v>
      </c>
      <c r="D4" s="11" t="inlineStr">
        <is>
          <t>李老师</t>
        </is>
      </c>
      <c r="E4" s="11" t="inlineStr">
        <is>
          <t>普拉提小班</t>
        </is>
      </c>
      <c r="F4" s="11" t="inlineStr">
        <is>
          <t>期限卡</t>
        </is>
      </c>
      <c r="G4" s="55" t="n">
        <v>46239</v>
      </c>
      <c r="H4" s="55" t="n">
        <v>46255</v>
      </c>
      <c r="I4" s="55" t="n">
        <v>46286</v>
      </c>
      <c r="J4" s="56" t="n">
        <v>5499</v>
      </c>
      <c r="K4" s="56" t="n">
        <v>5499</v>
      </c>
      <c r="L4" s="46">
        <f>K4-J4</f>
        <v/>
      </c>
      <c r="M4" s="47" t="n"/>
      <c r="N4" s="48">
        <f>COUNTIFS(上课记录!$B:$B,A4,上课记录!$J:$J,"是")</f>
        <v/>
      </c>
      <c r="O4" s="31">
        <f>IF(F4="次卡",MAX(0,M4-N4),"—")</f>
        <v/>
      </c>
      <c r="P4" s="31">
        <f>IF(F4="期限卡",MAX(0,I4-TODAY()),"—")</f>
        <v/>
      </c>
      <c r="Q4" s="31">
        <f>IF(A4="","",IF(F4="次卡",IF(OR(K4="",K4=0,M4=0),"",K4/M4),IF(F4="期限卡",IF(AND(K4&lt;&gt;"",K4&lt;&gt;0,I4&gt;H4),K4/(I4-H4),""),"")))</f>
        <v/>
      </c>
      <c r="R4" s="31">
        <f>IF(A4="","",IF(F4="次卡",IF(OR(K4="",K4=0,M4=0),"",Q4*O4),IF(F4="期限卡",IF(AND(K4&lt;&gt;"",K4&lt;&gt;0,I4&gt;H4),Q4*P4,""),"")))</f>
        <v/>
      </c>
      <c r="S4" s="57">
        <f>IF(A4="","",IF(COUNTIFS(上课记录!$B:$B,A4,上课记录!$J:$J,"是")&gt;0,_xlfn.MAXIFS(上课记录!$D:$D,上课记录!$B:$B,A4,上课记录!$J:$J,"是"),IF(H4&gt;0,H4,"未上课")))</f>
        <v/>
      </c>
      <c r="T4" s="31">
        <f>IF(A4="",0,IF(S4="未上课",0,IF(S4="",0,TODAY()-S4)))</f>
        <v/>
      </c>
      <c r="U4" s="31">
        <f>IF(OR(AND(F4="次卡",O4=0),AND(F4="期限卡",P4=0)),IF(H4="","待开卡","已到期"),IF(T4&gt;=10,"沉睡客户",IF(T4&gt;=7,"预警客户",IF(T4=0,IF(A4="","待更新","正常"),"正常"))))</f>
        <v/>
      </c>
      <c r="V4" s="11" t="n"/>
      <c r="W4" s="11" t="n"/>
    </row>
    <row r="5">
      <c r="A5" s="44" t="inlineStr">
        <is>
          <t>M004</t>
        </is>
      </c>
      <c r="B5" s="11" t="inlineStr">
        <is>
          <t>沙和尚</t>
        </is>
      </c>
      <c r="C5" s="11" t="n">
        <v>15577778888</v>
      </c>
      <c r="D5" s="11" t="inlineStr">
        <is>
          <t>唐老师</t>
        </is>
      </c>
      <c r="E5" s="11" t="inlineStr">
        <is>
          <t>私教</t>
        </is>
      </c>
      <c r="F5" s="11" t="inlineStr">
        <is>
          <t>次卡</t>
        </is>
      </c>
      <c r="G5" s="55" t="n">
        <v>46166</v>
      </c>
      <c r="H5" s="55" t="n">
        <v>46166</v>
      </c>
      <c r="I5" s="55" t="n">
        <v>46531</v>
      </c>
      <c r="J5" s="56" t="n">
        <v>16999</v>
      </c>
      <c r="K5" s="56" t="n">
        <v>16999</v>
      </c>
      <c r="L5" s="46">
        <f>K5-J5</f>
        <v/>
      </c>
      <c r="M5" s="47" t="n">
        <v>30</v>
      </c>
      <c r="N5" s="48">
        <f>COUNTIFS(上课记录!$B:$B,A5,上课记录!$J:$J,"是")</f>
        <v/>
      </c>
      <c r="O5" s="31">
        <f>IF(F5="次卡",MAX(0,M5-N5),"—")</f>
        <v/>
      </c>
      <c r="P5" s="31">
        <f>IF(F5="期限卡",MAX(0,I5-TODAY()),"—")</f>
        <v/>
      </c>
      <c r="Q5" s="31">
        <f>IF(A5="","",IF(F5="次卡",IF(OR(K5="",K5=0,M5=0),"",K5/M5),IF(F5="期限卡",IF(AND(K5&lt;&gt;"",K5&lt;&gt;0,I5&gt;H5),K5/(I5-H5),""),"")))</f>
        <v/>
      </c>
      <c r="R5" s="31">
        <f>IF(A5="","",IF(F5="次卡",IF(OR(K5="",K5=0,M5=0),"",Q5*O5),IF(F5="期限卡",IF(AND(K5&lt;&gt;"",K5&lt;&gt;0,I5&gt;H5),Q5*P5,""),"")))</f>
        <v/>
      </c>
      <c r="S5" s="57">
        <f>IF(A5="","",IF(COUNTIFS(上课记录!$B:$B,A5,上课记录!$J:$J,"是")&gt;0,_xlfn.MAXIFS(上课记录!$D:$D,上课记录!$B:$B,A5,上课记录!$J:$J,"是"),IF(H5&gt;0,H5,"未上课")))</f>
        <v/>
      </c>
      <c r="T5" s="31">
        <f>IF(A5="",0,IF(S5="未上课",0,IF(S5="",0,TODAY()-S5)))</f>
        <v/>
      </c>
      <c r="U5" s="31">
        <f>IF(OR(AND(F5="次卡",O5=0),AND(F5="期限卡",P5=0)),IF(H5="","待开卡","已到期"),IF(T5&gt;=10,"沉睡客户",IF(T5&gt;=7,"预警客户",IF(T5=0,IF(A5="","待更新","正常"),"正常"))))</f>
        <v/>
      </c>
      <c r="V5" s="11" t="n"/>
      <c r="W5" s="11" t="n"/>
    </row>
    <row r="6">
      <c r="A6" s="44" t="inlineStr">
        <is>
          <t>M005</t>
        </is>
      </c>
      <c r="B6" s="11" t="inlineStr">
        <is>
          <t>马超</t>
        </is>
      </c>
      <c r="C6" s="11" t="inlineStr">
        <is>
          <t>14788774451</t>
        </is>
      </c>
      <c r="D6" s="11" t="inlineStr">
        <is>
          <t>刘老师</t>
        </is>
      </c>
      <c r="E6" s="11" t="inlineStr">
        <is>
          <t>普拉提小班</t>
        </is>
      </c>
      <c r="F6" s="11" t="inlineStr">
        <is>
          <t>次卡</t>
        </is>
      </c>
      <c r="G6" s="55" t="n">
        <v>46262</v>
      </c>
      <c r="H6" s="55" t="n">
        <v>46262</v>
      </c>
      <c r="I6" s="55" t="n">
        <v>72898</v>
      </c>
      <c r="J6" s="56" t="n">
        <v>9800</v>
      </c>
      <c r="K6" s="56" t="n">
        <v>9800</v>
      </c>
      <c r="L6" s="46">
        <f>K6-J6</f>
        <v/>
      </c>
      <c r="M6" s="47" t="n">
        <v>100</v>
      </c>
      <c r="N6" s="48">
        <f>COUNTIFS(上课记录!$B:$B,A6,上课记录!$J:$J,"是")</f>
        <v/>
      </c>
      <c r="O6" s="31">
        <f>IF(F6="次卡",MAX(0,M6-N6),"—")</f>
        <v/>
      </c>
      <c r="P6" s="31">
        <f>IF(F6="期限卡",MAX(0,I6-TODAY()),"—")</f>
        <v/>
      </c>
      <c r="Q6" s="31">
        <f>IF(A6="","",IF(F6="次卡",IF(OR(K6="",K6=0,M6=0),"",K6/M6),IF(F6="期限卡",IF(AND(K6&lt;&gt;"",K6&lt;&gt;0,I6&gt;H6),K6/(I6-H6),""),"")))</f>
        <v/>
      </c>
      <c r="R6" s="31">
        <f>IF(A6="","",IF(F6="次卡",IF(OR(K6="",K6=0,M6=0),"",Q6*O6),IF(F6="期限卡",IF(AND(K6&lt;&gt;"",K6&lt;&gt;0,I6&gt;H6),Q6*P6,""),"")))</f>
        <v/>
      </c>
      <c r="S6" s="57">
        <f>IF(A6="","",IF(COUNTIFS(上课记录!$B:$B,A6,上课记录!$J:$J,"是")&gt;0,_xlfn.MAXIFS(上课记录!$D:$D,上课记录!$B:$B,A6,上课记录!$J:$J,"是"),IF(H6&gt;0,H6,"未上课")))</f>
        <v/>
      </c>
      <c r="T6" s="31">
        <f>IF(A6="",0,IF(S6="未上课",0,IF(S6="",0,TODAY()-S6)))</f>
        <v/>
      </c>
      <c r="U6" s="31">
        <f>IF(OR(AND(F6="次卡",O6=0),AND(F6="期限卡",P6=0)),IF(H6="","待开卡","已到期"),IF(T6&gt;=10,"沉睡客户",IF(T6&gt;=7,"预警客户",IF(T6=0,IF(A6="","待更新","正常"),"正常"))))</f>
        <v/>
      </c>
      <c r="V6" s="11" t="n"/>
      <c r="W6" s="11" t="n"/>
    </row>
    <row r="7">
      <c r="A7" s="44" t="n"/>
      <c r="B7" s="11" t="n"/>
      <c r="C7" s="11" t="n"/>
      <c r="D7" s="11" t="n"/>
      <c r="E7" s="11" t="n"/>
      <c r="F7" s="11" t="n"/>
      <c r="G7" s="55" t="n"/>
      <c r="H7" s="55" t="n"/>
      <c r="I7" s="55" t="n"/>
      <c r="J7" s="56" t="n"/>
      <c r="K7" s="56" t="n"/>
      <c r="L7" s="46">
        <f>K7-J7</f>
        <v/>
      </c>
      <c r="M7" s="47" t="n"/>
      <c r="N7" s="48">
        <f>COUNTIFS(上课记录!$B:$B,A7,上课记录!$J:$J,"是")</f>
        <v/>
      </c>
      <c r="O7" s="31">
        <f>IF(F7="次卡",MAX(0,M7-N7),"—")</f>
        <v/>
      </c>
      <c r="P7" s="31">
        <f>IF(F7="期限卡",MAX(0,I7-TODAY()),"—")</f>
        <v/>
      </c>
      <c r="Q7" s="31">
        <f>IF(A7="","",IF(F7="次卡",IF(OR(K7="",K7=0,M7=0),"",K7/M7),IF(F7="期限卡",IF(AND(K7&lt;&gt;"",K7&lt;&gt;0,I7&gt;H7),K7/(I7-H7),""),"")))</f>
        <v/>
      </c>
      <c r="R7" s="31">
        <f>IF(A7="","",IF(F7="次卡",IF(OR(K7="",K7=0,M7=0),"",Q7*O7),IF(F7="期限卡",IF(AND(K7&lt;&gt;"",K7&lt;&gt;0,I7&gt;H7),Q7*P7,""),"")))</f>
        <v/>
      </c>
      <c r="S7" s="57">
        <f>IF(A7="","",IF(COUNTIFS(上课记录!$B:$B,A7,上课记录!$J:$J,"是")&gt;0,_xlfn.MAXIFS(上课记录!$D:$D,上课记录!$B:$B,A7,上课记录!$J:$J,"是"),IF(H7&gt;0,H7,"未上课")))</f>
        <v/>
      </c>
      <c r="T7" s="31">
        <f>IF(A7="",0,IF(S7="未上课",0,IF(S7="",0,TODAY()-S7)))</f>
        <v/>
      </c>
      <c r="U7" s="31">
        <f>IF(OR(AND(F7="次卡",O7=0),AND(F7="期限卡",P7=0)),IF(H7="","待开卡","已到期"),IF(T7&gt;=10,"沉睡客户",IF(T7&gt;=7,"预警客户",IF(T7=0,IF(A7="","待更新","正常"),"正常"))))</f>
        <v/>
      </c>
      <c r="V7" s="11" t="n"/>
      <c r="W7" s="11" t="n"/>
    </row>
    <row r="8">
      <c r="A8" s="44" t="n"/>
      <c r="B8" s="11" t="n"/>
      <c r="C8" s="11" t="n"/>
      <c r="D8" s="11" t="n"/>
      <c r="E8" s="11" t="n"/>
      <c r="F8" s="11" t="n"/>
      <c r="G8" s="55" t="n"/>
      <c r="H8" s="55" t="n"/>
      <c r="I8" s="55" t="n"/>
      <c r="J8" s="56" t="n"/>
      <c r="K8" s="56" t="n"/>
      <c r="L8" s="46">
        <f>K8-J8</f>
        <v/>
      </c>
      <c r="M8" s="47" t="n"/>
      <c r="N8" s="48">
        <f>COUNTIFS(上课记录!$B:$B,A8,上课记录!$J:$J,"是")</f>
        <v/>
      </c>
      <c r="O8" s="31">
        <f>IF(F8="次卡",MAX(0,M8-N8),"—")</f>
        <v/>
      </c>
      <c r="P8" s="31">
        <f>IF(F8="期限卡",MAX(0,I8-TODAY()),"—")</f>
        <v/>
      </c>
      <c r="Q8" s="31">
        <f>IF(A8="","",IF(F8="次卡",IF(OR(K8="",K8=0,M8=0),"",K8/M8),IF(F8="期限卡",IF(AND(K8&lt;&gt;"",K8&lt;&gt;0,I8&gt;H8),K8/(I8-H8),""),"")))</f>
        <v/>
      </c>
      <c r="R8" s="31">
        <f>IF(A8="","",IF(F8="次卡",IF(OR(K8="",K8=0,M8=0),"",Q8*O8),IF(F8="期限卡",IF(AND(K8&lt;&gt;"",K8&lt;&gt;0,I8&gt;H8),Q8*P8,""),"")))</f>
        <v/>
      </c>
      <c r="S8" s="57">
        <f>IF(A8="","",IF(COUNTIFS(上课记录!$B:$B,A8,上课记录!$J:$J,"是")&gt;0,_xlfn.MAXIFS(上课记录!$D:$D,上课记录!$B:$B,A8,上课记录!$J:$J,"是"),IF(H8&gt;0,H8,"未上课")))</f>
        <v/>
      </c>
      <c r="T8" s="31">
        <f>IF(A8="",0,IF(S8="未上课",0,IF(S8="",0,TODAY()-S8)))</f>
        <v/>
      </c>
      <c r="U8" s="31">
        <f>IF(OR(AND(F8="次卡",O8=0),AND(F8="期限卡",P8=0)),IF(H8="","待开卡","已到期"),IF(T8&gt;=10,"沉睡客户",IF(T8&gt;=7,"预警客户",IF(T8=0,IF(A8="","待更新","正常"),"正常"))))</f>
        <v/>
      </c>
      <c r="V8" s="11" t="n"/>
      <c r="W8" s="11" t="n"/>
    </row>
    <row r="9">
      <c r="A9" s="44" t="n"/>
      <c r="B9" s="11" t="n"/>
      <c r="C9" s="11" t="n"/>
      <c r="D9" s="11" t="n"/>
      <c r="E9" s="11" t="n"/>
      <c r="F9" s="11" t="n"/>
      <c r="G9" s="55" t="n"/>
      <c r="H9" s="55" t="n"/>
      <c r="I9" s="55" t="n"/>
      <c r="J9" s="56" t="n"/>
      <c r="K9" s="56" t="n"/>
      <c r="L9" s="46">
        <f>K9-J9</f>
        <v/>
      </c>
      <c r="M9" s="47" t="n"/>
      <c r="N9" s="48">
        <f>COUNTIFS(上课记录!$B:$B,A9,上课记录!$J:$J,"是")</f>
        <v/>
      </c>
      <c r="O9" s="31">
        <f>IF(F9="次卡",MAX(0,M9-N9),"—")</f>
        <v/>
      </c>
      <c r="P9" s="31">
        <f>IF(F9="期限卡",MAX(0,I9-TODAY()),"—")</f>
        <v/>
      </c>
      <c r="Q9" s="31">
        <f>IF(A9="","",IF(F9="次卡",IF(OR(K9="",K9=0,M9=0),"",K9/M9),IF(F9="期限卡",IF(AND(K9&lt;&gt;"",K9&lt;&gt;0,I9&gt;H9),K9/(I9-H9),""),"")))</f>
        <v/>
      </c>
      <c r="R9" s="31">
        <f>IF(A9="","",IF(F9="次卡",IF(OR(K9="",K9=0,M9=0),"",Q9*O9),IF(F9="期限卡",IF(AND(K9&lt;&gt;"",K9&lt;&gt;0,I9&gt;H9),Q9*P9,""),"")))</f>
        <v/>
      </c>
      <c r="S9" s="57">
        <f>IF(A9="","",IF(COUNTIFS(上课记录!$B:$B,A9,上课记录!$J:$J,"是")&gt;0,_xlfn.MAXIFS(上课记录!$D:$D,上课记录!$B:$B,A9,上课记录!$J:$J,"是"),IF(H9&gt;0,H9,"未上课")))</f>
        <v/>
      </c>
      <c r="T9" s="31">
        <f>IF(A9="",0,IF(S9="未上课",0,IF(S9="",0,TODAY()-S9)))</f>
        <v/>
      </c>
      <c r="U9" s="31">
        <f>IF(OR(AND(F9="次卡",O9=0),AND(F9="期限卡",P9=0)),IF(H9="","待开卡","已到期"),IF(T9&gt;=10,"沉睡客户",IF(T9&gt;=7,"预警客户",IF(T9=0,IF(A9="","待更新","正常"),"正常"))))</f>
        <v/>
      </c>
      <c r="V9" s="11" t="n"/>
      <c r="W9" s="11" t="n"/>
    </row>
    <row r="10">
      <c r="A10" s="44" t="n"/>
      <c r="B10" s="11" t="n"/>
      <c r="C10" s="11" t="n"/>
      <c r="D10" s="11" t="n"/>
      <c r="E10" s="11" t="n"/>
      <c r="F10" s="11" t="n"/>
      <c r="G10" s="55" t="n"/>
      <c r="H10" s="55" t="n"/>
      <c r="I10" s="55" t="n"/>
      <c r="J10" s="56" t="n"/>
      <c r="K10" s="56" t="n"/>
      <c r="L10" s="46">
        <f>K10-J10</f>
        <v/>
      </c>
      <c r="M10" s="47" t="n"/>
      <c r="N10" s="48">
        <f>COUNTIFS(上课记录!$B:$B,A10,上课记录!$J:$J,"是")</f>
        <v/>
      </c>
      <c r="O10" s="31">
        <f>IF(F10="次卡",MAX(0,M10-N10),"—")</f>
        <v/>
      </c>
      <c r="P10" s="31">
        <f>IF(F10="期限卡",MAX(0,I10-TODAY()),"—")</f>
        <v/>
      </c>
      <c r="Q10" s="31">
        <f>IF(A10="","",IF(F10="次卡",IF(OR(K10="",K10=0,M10=0),"",K10/M10),IF(F10="期限卡",IF(AND(K10&lt;&gt;"",K10&lt;&gt;0,I10&gt;H10),K10/(I10-H10),""),"")))</f>
        <v/>
      </c>
      <c r="R10" s="31">
        <f>IF(A10="","",IF(F10="次卡",IF(OR(K10="",K10=0,M10=0),"",Q10*O10),IF(F10="期限卡",IF(AND(K10&lt;&gt;"",K10&lt;&gt;0,I10&gt;H10),Q10*P10,""),"")))</f>
        <v/>
      </c>
      <c r="S10" s="57">
        <f>IF(A10="","",IF(COUNTIFS(上课记录!$B:$B,A10,上课记录!$J:$J,"是")&gt;0,_xlfn.MAXIFS(上课记录!$D:$D,上课记录!$B:$B,A10,上课记录!$J:$J,"是"),IF(H10&gt;0,H10,"未上课")))</f>
        <v/>
      </c>
      <c r="T10" s="31">
        <f>IF(A10="",0,IF(S10="未上课",0,IF(S10="",0,TODAY()-S10)))</f>
        <v/>
      </c>
      <c r="U10" s="31">
        <f>IF(OR(AND(F10="次卡",O10=0),AND(F10="期限卡",P10=0)),"已到期",IF(T10&gt;=10,"沉睡客户",IF(T10&gt;=7,"预警客户",IF(T10=0,IF(A10="","待更新","正常"),"正常"))))</f>
        <v/>
      </c>
      <c r="V10" s="11" t="n"/>
      <c r="W10" s="11" t="n"/>
    </row>
    <row r="11">
      <c r="A11" s="44" t="n"/>
      <c r="B11" s="11" t="n"/>
      <c r="C11" s="11" t="n"/>
      <c r="D11" s="11" t="n"/>
      <c r="E11" s="11" t="n"/>
      <c r="F11" s="11" t="n"/>
      <c r="G11" s="55" t="n"/>
      <c r="H11" s="55" t="n"/>
      <c r="I11" s="55" t="n"/>
      <c r="J11" s="56" t="n"/>
      <c r="K11" s="56" t="n"/>
      <c r="L11" s="46">
        <f>K11-J11</f>
        <v/>
      </c>
      <c r="M11" s="47" t="n"/>
      <c r="N11" s="48">
        <f>COUNTIFS(上课记录!$B:$B,A11,上课记录!$J:$J,"是")</f>
        <v/>
      </c>
      <c r="O11" s="31">
        <f>IF(F11="次卡",MAX(0,M11-N11),"—")</f>
        <v/>
      </c>
      <c r="P11" s="31">
        <f>IF(F11="期限卡",MAX(0,I11-TODAY()),"—")</f>
        <v/>
      </c>
      <c r="Q11" s="31">
        <f>IF(A11="","",IF(F11="次卡",IF(OR(K11="",K11=0,M11=0),"",K11/M11),IF(F11="期限卡",IF(AND(K11&lt;&gt;"",K11&lt;&gt;0,I11&gt;H11),K11/(I11-H11),""),"")))</f>
        <v/>
      </c>
      <c r="R11" s="31">
        <f>IF(A11="","",IF(F11="次卡",IF(OR(K11="",K11=0,M11=0),"",Q11*O11),IF(F11="期限卡",IF(AND(K11&lt;&gt;"",K11&lt;&gt;0,I11&gt;H11),Q11*P11,""),"")))</f>
        <v/>
      </c>
      <c r="S11" s="57">
        <f>IF(A11="","",IF(COUNTIFS(上课记录!$B:$B,A11,上课记录!$J:$J,"是")&gt;0,_xlfn.MAXIFS(上课记录!$D:$D,上课记录!$B:$B,A11,上课记录!$J:$J,"是"),IF(H11&gt;0,H11,"未上课")))</f>
        <v/>
      </c>
      <c r="T11" s="31">
        <f>IF(A11="",0,IF(S11="未上课",0,IF(S11="",0,TODAY()-S11)))</f>
        <v/>
      </c>
      <c r="U11" s="31">
        <f>IF(OR(AND(F11="次卡",O11=0),AND(F11="期限卡",P11=0)),"已到期",IF(T11&gt;=10,"沉睡客户",IF(T11&gt;=7,"预警客户",IF(T11=0,IF(A11="","待更新","正常"),"正常"))))</f>
        <v/>
      </c>
      <c r="V11" s="11" t="n"/>
      <c r="W11" s="11" t="n"/>
    </row>
    <row r="12">
      <c r="A12" s="44" t="n"/>
      <c r="B12" s="11" t="n"/>
      <c r="C12" s="11" t="n"/>
      <c r="D12" s="11" t="n"/>
      <c r="E12" s="11" t="n"/>
      <c r="F12" s="11" t="n"/>
      <c r="G12" s="55" t="n"/>
      <c r="H12" s="55" t="n"/>
      <c r="I12" s="55" t="n"/>
      <c r="J12" s="56" t="n"/>
      <c r="K12" s="56" t="n"/>
      <c r="L12" s="46">
        <f>K12-J12</f>
        <v/>
      </c>
      <c r="M12" s="47" t="n"/>
      <c r="N12" s="48">
        <f>COUNTIFS(上课记录!$B:$B,A12,上课记录!$J:$J,"是")</f>
        <v/>
      </c>
      <c r="O12" s="31">
        <f>IF(F12="次卡",MAX(0,M12-N12),"—")</f>
        <v/>
      </c>
      <c r="P12" s="31">
        <f>IF(F12="期限卡",MAX(0,I12-TODAY()),"—")</f>
        <v/>
      </c>
      <c r="Q12" s="31">
        <f>IF(A12="","",IF(F12="次卡",IF(OR(K12="",K12=0,M12=0),"",K12/M12),IF(F12="期限卡",IF(AND(K12&lt;&gt;"",K12&lt;&gt;0,I12&gt;H12),K12/(I12-H12),""),"")))</f>
        <v/>
      </c>
      <c r="R12" s="31">
        <f>IF(A12="","",IF(F12="次卡",IF(OR(K12="",K12=0,M12=0),"",Q12*O12),IF(F12="期限卡",IF(AND(K12&lt;&gt;"",K12&lt;&gt;0,I12&gt;H12),Q12*P12,""),"")))</f>
        <v/>
      </c>
      <c r="S12" s="57">
        <f>IF(A12="","",IF(COUNTIFS(上课记录!$B:$B,A12,上课记录!$J:$J,"是")&gt;0,_xlfn.MAXIFS(上课记录!$D:$D,上课记录!$B:$B,A12,上课记录!$J:$J,"是"),IF(H12&gt;0,H12,"未上课")))</f>
        <v/>
      </c>
      <c r="T12" s="31">
        <f>IF(A12="",0,IF(S12="未上课",0,IF(S12="",0,TODAY()-S12)))</f>
        <v/>
      </c>
      <c r="U12" s="31">
        <f>IF(OR(AND(F12="次卡",O12=0),AND(F12="期限卡",P12=0)),"已到期",IF(T12&gt;=10,"沉睡客户",IF(T12&gt;=7,"预警客户",IF(T12=0,IF(A12="","待更新","正常"),"正常"))))</f>
        <v/>
      </c>
      <c r="V12" s="11" t="n"/>
      <c r="W12" s="11" t="n"/>
    </row>
    <row r="13">
      <c r="A13" s="44" t="n"/>
      <c r="B13" s="11" t="n"/>
      <c r="C13" s="11" t="n"/>
      <c r="D13" s="11" t="n"/>
      <c r="E13" s="11" t="n"/>
      <c r="F13" s="11" t="n"/>
      <c r="G13" s="55" t="n"/>
      <c r="H13" s="55" t="n"/>
      <c r="I13" s="55" t="n"/>
      <c r="J13" s="56" t="n"/>
      <c r="K13" s="56" t="n"/>
      <c r="L13" s="46">
        <f>K13-J13</f>
        <v/>
      </c>
      <c r="M13" s="47" t="n"/>
      <c r="N13" s="48">
        <f>COUNTIFS(上课记录!$B:$B,A13,上课记录!$J:$J,"是")</f>
        <v/>
      </c>
      <c r="O13" s="31">
        <f>IF(F13="次卡",MAX(0,M13-N13),"—")</f>
        <v/>
      </c>
      <c r="P13" s="31">
        <f>IF(F13="期限卡",MAX(0,I13-TODAY()),"—")</f>
        <v/>
      </c>
      <c r="Q13" s="31">
        <f>IF(A13="","",IF(F13="次卡",IF(OR(K13="",K13=0,M13=0),"",K13/M13),IF(F13="期限卡",IF(AND(K13&lt;&gt;"",K13&lt;&gt;0,I13&gt;H13),K13/(I13-H13),""),"")))</f>
        <v/>
      </c>
      <c r="R13" s="31">
        <f>IF(A13="","",IF(F13="次卡",IF(OR(K13="",K13=0,M13=0),"",Q13*O13),IF(F13="期限卡",IF(AND(K13&lt;&gt;"",K13&lt;&gt;0,I13&gt;H13),Q13*P13,""),"")))</f>
        <v/>
      </c>
      <c r="S13" s="57">
        <f>IF(A13="","",IF(COUNTIFS(上课记录!$B:$B,A13,上课记录!$J:$J,"是")&gt;0,_xlfn.MAXIFS(上课记录!$D:$D,上课记录!$B:$B,A13,上课记录!$J:$J,"是"),IF(H13&gt;0,H13,"未上课")))</f>
        <v/>
      </c>
      <c r="T13" s="31">
        <f>IF(A13="",0,IF(S13="未上课",0,IF(S13="",0,TODAY()-S13)))</f>
        <v/>
      </c>
      <c r="U13" s="31">
        <f>IF(OR(AND(F13="次卡",O13=0),AND(F13="期限卡",P13=0)),"已到期",IF(T13&gt;=10,"沉睡客户",IF(T13&gt;=7,"预警客户",IF(T13=0,IF(A13="","待更新","正常"),"正常"))))</f>
        <v/>
      </c>
      <c r="V13" s="11" t="n"/>
      <c r="W13" s="11" t="n"/>
    </row>
    <row r="14">
      <c r="A14" s="44" t="n"/>
      <c r="B14" s="11" t="n"/>
      <c r="C14" s="11" t="n"/>
      <c r="D14" s="11" t="n"/>
      <c r="E14" s="11" t="n"/>
      <c r="F14" s="11" t="n"/>
      <c r="G14" s="55" t="n"/>
      <c r="H14" s="55" t="n"/>
      <c r="I14" s="55" t="n"/>
      <c r="J14" s="56" t="n"/>
      <c r="K14" s="56" t="n"/>
      <c r="L14" s="46">
        <f>K14-J14</f>
        <v/>
      </c>
      <c r="M14" s="47" t="n"/>
      <c r="N14" s="48">
        <f>COUNTIFS(上课记录!$B:$B,A14,上课记录!$J:$J,"是")</f>
        <v/>
      </c>
      <c r="O14" s="31">
        <f>IF(F14="次卡",MAX(0,M14-N14),"—")</f>
        <v/>
      </c>
      <c r="P14" s="31">
        <f>IF(F14="期限卡",MAX(0,I14-TODAY()),"—")</f>
        <v/>
      </c>
      <c r="Q14" s="31">
        <f>IF(A14="","",IF(F14="次卡",IF(OR(K14="",K14=0,M14=0),"",K14/M14),IF(F14="期限卡",IF(AND(K14&lt;&gt;"",K14&lt;&gt;0,I14&gt;H14),K14/(I14-H14),""),"")))</f>
        <v/>
      </c>
      <c r="R14" s="31">
        <f>IF(A14="","",IF(F14="次卡",IF(OR(K14="",K14=0,M14=0),"",Q14*O14),IF(F14="期限卡",IF(AND(K14&lt;&gt;"",K14&lt;&gt;0,I14&gt;H14),Q14*P14,""),"")))</f>
        <v/>
      </c>
      <c r="S14" s="57">
        <f>IF(A14="","",IF(COUNTIFS(上课记录!$B:$B,A14,上课记录!$J:$J,"是")&gt;0,_xlfn.MAXIFS(上课记录!$D:$D,上课记录!$B:$B,A14,上课记录!$J:$J,"是"),IF(H14&gt;0,H14,"未上课")))</f>
        <v/>
      </c>
      <c r="T14" s="31">
        <f>IF(A14="",0,IF(S14="未上课",0,IF(S14="",0,TODAY()-S14)))</f>
        <v/>
      </c>
      <c r="U14" s="31">
        <f>IF(OR(AND(F14="次卡",O14=0),AND(F14="期限卡",P14=0)),"已到期",IF(T14&gt;=10,"沉睡客户",IF(T14&gt;=7,"预警客户",IF(T14=0,IF(A14="","待更新","正常"),"正常"))))</f>
        <v/>
      </c>
      <c r="V14" s="11" t="n"/>
      <c r="W14" s="11" t="n"/>
    </row>
    <row r="15">
      <c r="A15" s="44" t="n"/>
      <c r="B15" s="11" t="n"/>
      <c r="C15" s="11" t="n"/>
      <c r="D15" s="11" t="n"/>
      <c r="E15" s="11" t="n"/>
      <c r="F15" s="11" t="n"/>
      <c r="G15" s="55" t="n"/>
      <c r="H15" s="55" t="n"/>
      <c r="I15" s="55" t="n"/>
      <c r="J15" s="56" t="n"/>
      <c r="K15" s="56" t="n"/>
      <c r="L15" s="46">
        <f>K15-J15</f>
        <v/>
      </c>
      <c r="M15" s="47" t="n"/>
      <c r="N15" s="48">
        <f>COUNTIFS(上课记录!$B:$B,A15,上课记录!$J:$J,"是")</f>
        <v/>
      </c>
      <c r="O15" s="31">
        <f>IF(F15="次卡",MAX(0,M15-N15),"—")</f>
        <v/>
      </c>
      <c r="P15" s="31">
        <f>IF(F15="期限卡",MAX(0,I15-TODAY()),"—")</f>
        <v/>
      </c>
      <c r="Q15" s="31">
        <f>IF(A15="","",IF(F15="次卡",IF(OR(K15="",K15=0,M15=0),"",K15/M15),IF(F15="期限卡",IF(AND(K15&lt;&gt;"",K15&lt;&gt;0,I15&gt;H15),K15/(I15-H15),""),"")))</f>
        <v/>
      </c>
      <c r="R15" s="31">
        <f>IF(A15="","",IF(F15="次卡",IF(OR(K15="",K15=0,M15=0),"",Q15*O15),IF(F15="期限卡",IF(AND(K15&lt;&gt;"",K15&lt;&gt;0,I15&gt;H15),Q15*P15,""),"")))</f>
        <v/>
      </c>
      <c r="S15" s="57">
        <f>IF(A15="","",IF(COUNTIFS(上课记录!$B:$B,A15,上课记录!$J:$J,"是")&gt;0,_xlfn.MAXIFS(上课记录!$D:$D,上课记录!$B:$B,A15,上课记录!$J:$J,"是"),IF(H15&gt;0,H15,"未上课")))</f>
        <v/>
      </c>
      <c r="T15" s="31">
        <f>IF(A15="",0,IF(S15="未上课",0,IF(S15="",0,TODAY()-S15)))</f>
        <v/>
      </c>
      <c r="U15" s="31">
        <f>IF(OR(AND(F15="次卡",O15=0),AND(F15="期限卡",P15=0)),"已到期",IF(T15&gt;=10,"沉睡客户",IF(T15&gt;=7,"预警客户",IF(T15=0,IF(A15="","待更新","正常"),"正常"))))</f>
        <v/>
      </c>
      <c r="V15" s="11" t="n"/>
      <c r="W15" s="11" t="n"/>
    </row>
    <row r="16">
      <c r="A16" s="44" t="n"/>
      <c r="B16" s="11" t="n"/>
      <c r="C16" s="11" t="n"/>
      <c r="D16" s="11" t="n"/>
      <c r="E16" s="11" t="n"/>
      <c r="F16" s="11" t="n"/>
      <c r="G16" s="55" t="n"/>
      <c r="H16" s="55" t="n"/>
      <c r="I16" s="55" t="n"/>
      <c r="J16" s="56" t="n"/>
      <c r="K16" s="56" t="n"/>
      <c r="L16" s="46">
        <f>K16-J16</f>
        <v/>
      </c>
      <c r="M16" s="47" t="n"/>
      <c r="N16" s="48">
        <f>COUNTIFS(上课记录!$B:$B,A16,上课记录!$J:$J,"是")</f>
        <v/>
      </c>
      <c r="O16" s="31">
        <f>IF(F16="次卡",MAX(0,M16-N16),"—")</f>
        <v/>
      </c>
      <c r="P16" s="31">
        <f>IF(F16="期限卡",MAX(0,I16-TODAY()),"—")</f>
        <v/>
      </c>
      <c r="Q16" s="31">
        <f>IF(A16="","",IF(F16="次卡",IF(OR(K16="",K16=0,M16=0),"",K16/M16),IF(F16="期限卡",IF(AND(K16&lt;&gt;"",K16&lt;&gt;0,I16&gt;H16),K16/(I16-H16),""),"")))</f>
        <v/>
      </c>
      <c r="R16" s="31">
        <f>IF(A16="","",IF(F16="次卡",IF(OR(K16="",K16=0,M16=0),"",Q16*O16),IF(F16="期限卡",IF(AND(K16&lt;&gt;"",K16&lt;&gt;0,I16&gt;H16),Q16*P16,""),"")))</f>
        <v/>
      </c>
      <c r="S16" s="57">
        <f>IF(A16="","",IF(COUNTIFS(上课记录!$B:$B,A16,上课记录!$J:$J,"是")&gt;0,_xlfn.MAXIFS(上课记录!$D:$D,上课记录!$B:$B,A16,上课记录!$J:$J,"是"),IF(H16&gt;0,H16,"未上课")))</f>
        <v/>
      </c>
      <c r="T16" s="31">
        <f>IF(A16="",0,IF(S16="未上课",0,IF(S16="",0,TODAY()-S16)))</f>
        <v/>
      </c>
      <c r="U16" s="31">
        <f>IF(OR(AND(F16="次卡",O16=0),AND(F16="期限卡",P16=0)),"已到期",IF(T16&gt;=10,"沉睡客户",IF(T16&gt;=7,"预警客户",IF(T16=0,IF(A16="","待更新","正常"),"正常"))))</f>
        <v/>
      </c>
      <c r="V16" s="11" t="n"/>
      <c r="W16" s="11" t="n"/>
    </row>
    <row r="17">
      <c r="A17" s="44" t="n"/>
      <c r="B17" s="11" t="n"/>
      <c r="C17" s="11" t="n"/>
      <c r="D17" s="11" t="n"/>
      <c r="E17" s="11" t="n"/>
      <c r="F17" s="11" t="n"/>
      <c r="G17" s="55" t="n"/>
      <c r="H17" s="55" t="n"/>
      <c r="I17" s="55" t="n"/>
      <c r="J17" s="56" t="n"/>
      <c r="K17" s="56" t="n"/>
      <c r="L17" s="46">
        <f>K17-J17</f>
        <v/>
      </c>
      <c r="M17" s="47" t="n"/>
      <c r="N17" s="48">
        <f>COUNTIFS(上课记录!$B:$B,A17,上课记录!$J:$J,"是")</f>
        <v/>
      </c>
      <c r="O17" s="31">
        <f>IF(F17="次卡",MAX(0,M17-N17),"—")</f>
        <v/>
      </c>
      <c r="P17" s="31">
        <f>IF(F17="期限卡",MAX(0,I17-TODAY()),"—")</f>
        <v/>
      </c>
      <c r="Q17" s="31">
        <f>IF(A17="","",IF(F17="次卡",IF(OR(K17="",K17=0,M17=0),"",K17/M17),IF(F17="期限卡",IF(AND(K17&lt;&gt;"",K17&lt;&gt;0,I17&gt;H17),K17/(I17-H17),""),"")))</f>
        <v/>
      </c>
      <c r="R17" s="31">
        <f>IF(A17="","",IF(F17="次卡",IF(OR(K17="",K17=0,M17=0),"",Q17*O17),IF(F17="期限卡",IF(AND(K17&lt;&gt;"",K17&lt;&gt;0,I17&gt;H17),Q17*P17,""),"")))</f>
        <v/>
      </c>
      <c r="S17" s="57">
        <f>IF(A17="","",IF(COUNTIFS(上课记录!$B:$B,A17,上课记录!$J:$J,"是")&gt;0,_xlfn.MAXIFS(上课记录!$D:$D,上课记录!$B:$B,A17,上课记录!$J:$J,"是"),IF(H17&gt;0,H17,"未上课")))</f>
        <v/>
      </c>
      <c r="T17" s="31">
        <f>IF(A17="",0,IF(S17="未上课",0,IF(S17="",0,TODAY()-S17)))</f>
        <v/>
      </c>
      <c r="U17" s="31">
        <f>IF(OR(AND(F17="次卡",O17=0),AND(F17="期限卡",P17=0)),"已到期",IF(T17&gt;=10,"沉睡客户",IF(T17&gt;=7,"预警客户",IF(T17=0,IF(A17="","待更新","正常"),"正常"))))</f>
        <v/>
      </c>
      <c r="V17" s="11" t="n"/>
      <c r="W17" s="11" t="n"/>
    </row>
    <row r="18">
      <c r="A18" s="44" t="n"/>
      <c r="B18" s="11" t="n"/>
      <c r="C18" s="11" t="n"/>
      <c r="D18" s="11" t="n"/>
      <c r="E18" s="11" t="n"/>
      <c r="F18" s="11" t="n"/>
      <c r="G18" s="55" t="n"/>
      <c r="H18" s="55" t="n"/>
      <c r="I18" s="55" t="n"/>
      <c r="J18" s="56" t="n"/>
      <c r="K18" s="56" t="n"/>
      <c r="L18" s="46">
        <f>K18-J18</f>
        <v/>
      </c>
      <c r="M18" s="47" t="n"/>
      <c r="N18" s="48">
        <f>COUNTIFS(上课记录!$B:$B,A18,上课记录!$J:$J,"是")</f>
        <v/>
      </c>
      <c r="O18" s="31">
        <f>IF(F18="次卡",MAX(0,M18-N18),"—")</f>
        <v/>
      </c>
      <c r="P18" s="31">
        <f>IF(F18="期限卡",MAX(0,I18-TODAY()),"—")</f>
        <v/>
      </c>
      <c r="Q18" s="31">
        <f>IF(A18="","",IF(F18="次卡",IF(OR(K18="",K18=0,M18=0),"",K18/M18),IF(F18="期限卡",IF(AND(K18&lt;&gt;"",K18&lt;&gt;0,I18&gt;H18),K18/(I18-H18),""),"")))</f>
        <v/>
      </c>
      <c r="R18" s="31">
        <f>IF(A18="","",IF(F18="次卡",IF(OR(K18="",K18=0,M18=0),"",Q18*O18),IF(F18="期限卡",IF(AND(K18&lt;&gt;"",K18&lt;&gt;0,I18&gt;H18),Q18*P18,""),"")))</f>
        <v/>
      </c>
      <c r="S18" s="57">
        <f>IF(A18="","",IF(COUNTIFS(上课记录!$B:$B,A18,上课记录!$J:$J,"是")&gt;0,_xlfn.MAXIFS(上课记录!$D:$D,上课记录!$B:$B,A18,上课记录!$J:$J,"是"),IF(H18&gt;0,H18,"未上课")))</f>
        <v/>
      </c>
      <c r="T18" s="31">
        <f>IF(A18="",0,IF(S18="未上课",0,IF(S18="",0,TODAY()-S18)))</f>
        <v/>
      </c>
      <c r="U18" s="31">
        <f>IF(OR(AND(F18="次卡",O18=0),AND(F18="期限卡",P18=0)),"已到期",IF(T18&gt;=10,"沉睡客户",IF(T18&gt;=7,"预警客户",IF(T18=0,IF(A18="","待更新","正常"),"正常"))))</f>
        <v/>
      </c>
      <c r="V18" s="11" t="n"/>
      <c r="W18" s="11" t="n"/>
    </row>
    <row r="19">
      <c r="A19" s="44" t="n"/>
      <c r="B19" s="11" t="n"/>
      <c r="C19" s="11" t="n"/>
      <c r="D19" s="11" t="n"/>
      <c r="E19" s="11" t="n"/>
      <c r="F19" s="11" t="n"/>
      <c r="G19" s="55" t="n"/>
      <c r="H19" s="55" t="n"/>
      <c r="I19" s="55" t="n"/>
      <c r="J19" s="56" t="n"/>
      <c r="K19" s="56" t="n"/>
      <c r="L19" s="46">
        <f>K19-J19</f>
        <v/>
      </c>
      <c r="M19" s="47" t="n"/>
      <c r="N19" s="48">
        <f>COUNTIFS(上课记录!$B:$B,A19,上课记录!$J:$J,"是")</f>
        <v/>
      </c>
      <c r="O19" s="31">
        <f>IF(F19="次卡",MAX(0,M19-N19),"—")</f>
        <v/>
      </c>
      <c r="P19" s="31">
        <f>IF(F19="期限卡",MAX(0,I19-TODAY()),"—")</f>
        <v/>
      </c>
      <c r="Q19" s="31">
        <f>IF(A19="","",IF(F19="次卡",IF(OR(K19="",K19=0,M19=0),"",K19/M19),IF(F19="期限卡",IF(AND(K19&lt;&gt;"",K19&lt;&gt;0,I19&gt;H19),K19/(I19-H19),""),"")))</f>
        <v/>
      </c>
      <c r="R19" s="31">
        <f>IF(A19="","",IF(F19="次卡",IF(OR(K19="",K19=0,M19=0),"",Q19*O19),IF(F19="期限卡",IF(AND(K19&lt;&gt;"",K19&lt;&gt;0,I19&gt;H19),Q19*P19,""),"")))</f>
        <v/>
      </c>
      <c r="S19" s="57">
        <f>IF(A19="","",IF(COUNTIFS(上课记录!$B:$B,A19,上课记录!$J:$J,"是")&gt;0,_xlfn.MAXIFS(上课记录!$D:$D,上课记录!$B:$B,A19,上课记录!$J:$J,"是"),IF(H19&gt;0,H19,"未上课")))</f>
        <v/>
      </c>
      <c r="T19" s="31">
        <f>IF(A19="",0,IF(S19="未上课",0,IF(S19="",0,TODAY()-S19)))</f>
        <v/>
      </c>
      <c r="U19" s="31">
        <f>IF(OR(AND(F19="次卡",O19=0),AND(F19="期限卡",P19=0)),"已到期",IF(T19&gt;=10,"沉睡客户",IF(T19&gt;=7,"预警客户",IF(T19=0,IF(A19="","待更新","正常"),"正常"))))</f>
        <v/>
      </c>
      <c r="V19" s="11" t="n"/>
      <c r="W19" s="11" t="n"/>
    </row>
    <row r="20">
      <c r="A20" s="44" t="n"/>
      <c r="B20" s="11" t="n"/>
      <c r="C20" s="11" t="n"/>
      <c r="D20" s="11" t="n"/>
      <c r="E20" s="11" t="n"/>
      <c r="F20" s="11" t="n"/>
      <c r="G20" s="55" t="n"/>
      <c r="H20" s="55" t="n"/>
      <c r="I20" s="55" t="n"/>
      <c r="J20" s="56" t="n"/>
      <c r="K20" s="56" t="n"/>
      <c r="L20" s="46">
        <f>K20-J20</f>
        <v/>
      </c>
      <c r="M20" s="47" t="n"/>
      <c r="N20" s="48">
        <f>COUNTIFS(上课记录!$B:$B,A20,上课记录!$J:$J,"是")</f>
        <v/>
      </c>
      <c r="O20" s="31">
        <f>IF(F20="次卡",MAX(0,M20-N20),"—")</f>
        <v/>
      </c>
      <c r="P20" s="31">
        <f>IF(F20="期限卡",MAX(0,I20-TODAY()),"—")</f>
        <v/>
      </c>
      <c r="Q20" s="31">
        <f>IF(A20="","",IF(F20="次卡",IF(OR(K20="",K20=0,M20=0),"",K20/M20),IF(F20="期限卡",IF(AND(K20&lt;&gt;"",K20&lt;&gt;0,I20&gt;H20),K20/(I20-H20),""),"")))</f>
        <v/>
      </c>
      <c r="R20" s="31">
        <f>IF(A20="","",IF(F20="次卡",IF(OR(K20="",K20=0,M20=0),"",Q20*O20),IF(F20="期限卡",IF(AND(K20&lt;&gt;"",K20&lt;&gt;0,I20&gt;H20),Q20*P20,""),"")))</f>
        <v/>
      </c>
      <c r="S20" s="57">
        <f>IF(A20="","",IF(COUNTIFS(上课记录!$B:$B,A20,上课记录!$J:$J,"是")&gt;0,_xlfn.MAXIFS(上课记录!$D:$D,上课记录!$B:$B,A20,上课记录!$J:$J,"是"),IF(H20&gt;0,H20,"未上课")))</f>
        <v/>
      </c>
      <c r="T20" s="31">
        <f>IF(A20="",0,IF(S20="未上课",0,IF(S20="",0,TODAY()-S20)))</f>
        <v/>
      </c>
      <c r="U20" s="31">
        <f>IF(OR(AND(F20="次卡",O20=0),AND(F20="期限卡",P20=0)),"已到期",IF(T20&gt;=10,"沉睡客户",IF(T20&gt;=7,"预警客户",IF(T20=0,IF(A20="","待更新","正常"),"正常"))))</f>
        <v/>
      </c>
      <c r="V20" s="11" t="n"/>
      <c r="W20" s="11" t="n"/>
    </row>
    <row r="21">
      <c r="A21" s="44" t="n"/>
      <c r="B21" s="11" t="n"/>
      <c r="C21" s="11" t="n"/>
      <c r="D21" s="11" t="n"/>
      <c r="E21" s="11" t="n"/>
      <c r="F21" s="11" t="n"/>
      <c r="G21" s="55" t="n"/>
      <c r="H21" s="55" t="n"/>
      <c r="I21" s="55" t="n"/>
      <c r="J21" s="56" t="n"/>
      <c r="K21" s="56" t="n"/>
      <c r="L21" s="46">
        <f>K21-J21</f>
        <v/>
      </c>
      <c r="M21" s="47" t="n"/>
      <c r="N21" s="48">
        <f>COUNTIFS(上课记录!$B:$B,A21,上课记录!$J:$J,"是")</f>
        <v/>
      </c>
      <c r="O21" s="31">
        <f>IF(F21="次卡",MAX(0,M21-N21),"—")</f>
        <v/>
      </c>
      <c r="P21" s="31">
        <f>IF(F21="期限卡",MAX(0,I21-TODAY()),"—")</f>
        <v/>
      </c>
      <c r="Q21" s="31">
        <f>IF(A21="","",IF(F21="次卡",IF(OR(K21="",K21=0,M21=0),"",K21/M21),IF(F21="期限卡",IF(AND(K21&lt;&gt;"",K21&lt;&gt;0,I21&gt;H21),K21/(I21-H21),""),"")))</f>
        <v/>
      </c>
      <c r="R21" s="31">
        <f>IF(A21="","",IF(F21="次卡",IF(OR(K21="",K21=0,M21=0),"",Q21*O21),IF(F21="期限卡",IF(AND(K21&lt;&gt;"",K21&lt;&gt;0,I21&gt;H21),Q21*P21,""),"")))</f>
        <v/>
      </c>
      <c r="S21" s="57">
        <f>IF(A21="","",IF(COUNTIFS(上课记录!$B:$B,A21,上课记录!$J:$J,"是")&gt;0,_xlfn.MAXIFS(上课记录!$D:$D,上课记录!$B:$B,A21,上课记录!$J:$J,"是"),IF(H21&gt;0,H21,"未上课")))</f>
        <v/>
      </c>
      <c r="T21" s="31">
        <f>IF(A21="",0,IF(S21="未上课",0,IF(S21="",0,TODAY()-S21)))</f>
        <v/>
      </c>
      <c r="U21" s="31">
        <f>IF(OR(AND(F21="次卡",O21=0),AND(F21="期限卡",P21=0)),"已到期",IF(T21&gt;=10,"沉睡客户",IF(T21&gt;=7,"预警客户",IF(T21=0,IF(A21="","待更新","正常"),"正常"))))</f>
        <v/>
      </c>
      <c r="V21" s="11" t="n"/>
      <c r="W21" s="11" t="n"/>
    </row>
    <row r="22">
      <c r="A22" s="44" t="n"/>
      <c r="B22" s="11" t="n"/>
      <c r="C22" s="11" t="n"/>
      <c r="D22" s="11" t="n"/>
      <c r="E22" s="11" t="n"/>
      <c r="F22" s="11" t="n"/>
      <c r="G22" s="55" t="n"/>
      <c r="H22" s="55" t="n"/>
      <c r="I22" s="55" t="n"/>
      <c r="J22" s="56" t="n"/>
      <c r="K22" s="56" t="n"/>
      <c r="L22" s="46">
        <f>K22-J22</f>
        <v/>
      </c>
      <c r="M22" s="47" t="n"/>
      <c r="N22" s="48">
        <f>COUNTIFS(上课记录!$B:$B,A22,上课记录!$J:$J,"是")</f>
        <v/>
      </c>
      <c r="O22" s="31">
        <f>IF(F22="次卡",MAX(0,M22-N22),"—")</f>
        <v/>
      </c>
      <c r="P22" s="31">
        <f>IF(F22="期限卡",MAX(0,I22-TODAY()),"—")</f>
        <v/>
      </c>
      <c r="Q22" s="31">
        <f>IF(A22="","",IF(F22="次卡",IF(OR(K22="",K22=0,M22=0),"",K22/M22),IF(F22="期限卡",IF(AND(K22&lt;&gt;"",K22&lt;&gt;0,I22&gt;H22),K22/(I22-H22),""),"")))</f>
        <v/>
      </c>
      <c r="R22" s="31">
        <f>IF(A22="","",IF(F22="次卡",IF(OR(K22="",K22=0,M22=0),"",Q22*O22),IF(F22="期限卡",IF(AND(K22&lt;&gt;"",K22&lt;&gt;0,I22&gt;H22),Q22*P22,""),"")))</f>
        <v/>
      </c>
      <c r="S22" s="57">
        <f>IF(A22="","",IF(COUNTIFS(上课记录!$B:$B,A22,上课记录!$J:$J,"是")&gt;0,_xlfn.MAXIFS(上课记录!$D:$D,上课记录!$B:$B,A22,上课记录!$J:$J,"是"),IF(H22&gt;0,H22,"未上课")))</f>
        <v/>
      </c>
      <c r="T22" s="31">
        <f>IF(A22="",0,IF(S22="未上课",0,IF(S22="",0,TODAY()-S22)))</f>
        <v/>
      </c>
      <c r="U22" s="31">
        <f>IF(OR(AND(F22="次卡",O22=0),AND(F22="期限卡",P22=0)),"已到期",IF(T22&gt;=10,"沉睡客户",IF(T22&gt;=7,"预警客户",IF(T22=0,IF(A22="","待更新","正常"),"正常"))))</f>
        <v/>
      </c>
      <c r="V22" s="11" t="n"/>
      <c r="W22" s="11" t="n"/>
    </row>
    <row r="23">
      <c r="A23" s="44" t="n"/>
      <c r="B23" s="11" t="n"/>
      <c r="C23" s="11" t="n"/>
      <c r="D23" s="11" t="n"/>
      <c r="E23" s="11" t="n"/>
      <c r="F23" s="11" t="n"/>
      <c r="G23" s="55" t="n"/>
      <c r="H23" s="55" t="n"/>
      <c r="I23" s="55" t="n"/>
      <c r="J23" s="56" t="n"/>
      <c r="K23" s="56" t="n"/>
      <c r="L23" s="46">
        <f>K23-J23</f>
        <v/>
      </c>
      <c r="M23" s="47" t="n"/>
      <c r="N23" s="48">
        <f>COUNTIFS(上课记录!$B:$B,A23,上课记录!$J:$J,"是")</f>
        <v/>
      </c>
      <c r="O23" s="31">
        <f>IF(F23="次卡",MAX(0,M23-N23),"—")</f>
        <v/>
      </c>
      <c r="P23" s="31">
        <f>IF(F23="期限卡",MAX(0,I23-TODAY()),"—")</f>
        <v/>
      </c>
      <c r="Q23" s="31">
        <f>IF(A23="","",IF(F23="次卡",IF(OR(K23="",K23=0,M23=0),"",K23/M23),IF(F23="期限卡",IF(AND(K23&lt;&gt;"",K23&lt;&gt;0,I23&gt;H23),K23/(I23-H23),""),"")))</f>
        <v/>
      </c>
      <c r="R23" s="31">
        <f>IF(A23="","",IF(F23="次卡",IF(OR(K23="",K23=0,M23=0),"",Q23*O23),IF(F23="期限卡",IF(AND(K23&lt;&gt;"",K23&lt;&gt;0,I23&gt;H23),Q23*P23,""),"")))</f>
        <v/>
      </c>
      <c r="S23" s="57">
        <f>IF(A23="","",IF(COUNTIFS(上课记录!$B:$B,A23,上课记录!$J:$J,"是")&gt;0,_xlfn.MAXIFS(上课记录!$D:$D,上课记录!$B:$B,A23,上课记录!$J:$J,"是"),IF(H23&gt;0,H23,"未上课")))</f>
        <v/>
      </c>
      <c r="T23" s="31">
        <f>IF(A23="",0,IF(S23="未上课",0,IF(S23="",0,TODAY()-S23)))</f>
        <v/>
      </c>
      <c r="U23" s="31">
        <f>IF(OR(AND(F23="次卡",O23=0),AND(F23="期限卡",P23=0)),"已到期",IF(T23&gt;=10,"沉睡客户",IF(T23&gt;=7,"预警客户",IF(T23=0,IF(A23="","待更新","正常"),"正常"))))</f>
        <v/>
      </c>
      <c r="V23" s="11" t="n"/>
      <c r="W23" s="11" t="n"/>
    </row>
    <row r="24">
      <c r="A24" s="44" t="n"/>
      <c r="B24" s="11" t="n"/>
      <c r="C24" s="11" t="n"/>
      <c r="D24" s="11" t="n"/>
      <c r="E24" s="11" t="n"/>
      <c r="F24" s="11" t="n"/>
      <c r="G24" s="55" t="n"/>
      <c r="H24" s="55" t="n"/>
      <c r="I24" s="55" t="n"/>
      <c r="J24" s="56" t="n"/>
      <c r="K24" s="56" t="n"/>
      <c r="L24" s="46">
        <f>K24-J24</f>
        <v/>
      </c>
      <c r="M24" s="47" t="n"/>
      <c r="N24" s="48">
        <f>COUNTIFS(上课记录!$B:$B,A24,上课记录!$J:$J,"是")</f>
        <v/>
      </c>
      <c r="O24" s="31">
        <f>IF(F24="次卡",MAX(0,M24-N24),"—")</f>
        <v/>
      </c>
      <c r="P24" s="31">
        <f>IF(F24="期限卡",MAX(0,I24-TODAY()),"—")</f>
        <v/>
      </c>
      <c r="Q24" s="31">
        <f>IF(A24="","",IF(F24="次卡",IF(OR(K24="",K24=0,M24=0),"",K24/M24),IF(F24="期限卡",IF(AND(K24&lt;&gt;"",K24&lt;&gt;0,I24&gt;H24),K24/(I24-H24),""),"")))</f>
        <v/>
      </c>
      <c r="R24" s="31">
        <f>IF(A24="","",IF(F24="次卡",IF(OR(K24="",K24=0,M24=0),"",Q24*O24),IF(F24="期限卡",IF(AND(K24&lt;&gt;"",K24&lt;&gt;0,I24&gt;H24),Q24*P24,""),"")))</f>
        <v/>
      </c>
      <c r="S24" s="57">
        <f>IF(A24="","",IF(COUNTIFS(上课记录!$B:$B,A24,上课记录!$J:$J,"是")&gt;0,_xlfn.MAXIFS(上课记录!$D:$D,上课记录!$B:$B,A24,上课记录!$J:$J,"是"),IF(H24&gt;0,H24,"未上课")))</f>
        <v/>
      </c>
      <c r="T24" s="31">
        <f>IF(A24="",0,IF(S24="未上课",0,IF(S24="",0,TODAY()-S24)))</f>
        <v/>
      </c>
      <c r="U24" s="31">
        <f>IF(OR(AND(F24="次卡",O24=0),AND(F24="期限卡",P24=0)),"已到期",IF(T24&gt;=10,"沉睡客户",IF(T24&gt;=7,"预警客户",IF(T24=0,IF(A24="","待更新","正常"),"正常"))))</f>
        <v/>
      </c>
      <c r="V24" s="11" t="n"/>
      <c r="W24" s="11" t="n"/>
    </row>
    <row r="25">
      <c r="A25" s="44" t="n"/>
      <c r="B25" s="11" t="n"/>
      <c r="C25" s="11" t="n"/>
      <c r="D25" s="11" t="n"/>
      <c r="E25" s="11" t="n"/>
      <c r="F25" s="11" t="n"/>
      <c r="G25" s="55" t="n"/>
      <c r="H25" s="55" t="n"/>
      <c r="I25" s="55" t="n"/>
      <c r="J25" s="56" t="n"/>
      <c r="K25" s="56" t="n"/>
      <c r="L25" s="46">
        <f>K25-J25</f>
        <v/>
      </c>
      <c r="M25" s="47" t="n"/>
      <c r="N25" s="48">
        <f>COUNTIFS(上课记录!$B:$B,A25,上课记录!$J:$J,"是")</f>
        <v/>
      </c>
      <c r="O25" s="31">
        <f>IF(F25="次卡",MAX(0,M25-N25),"—")</f>
        <v/>
      </c>
      <c r="P25" s="31">
        <f>IF(F25="期限卡",MAX(0,I25-TODAY()),"—")</f>
        <v/>
      </c>
      <c r="Q25" s="31">
        <f>IF(A25="","",IF(F25="次卡",IF(OR(K25="",K25=0,M25=0),"",K25/M25),IF(F25="期限卡",IF(AND(K25&lt;&gt;"",K25&lt;&gt;0,I25&gt;H25),K25/(I25-H25),""),"")))</f>
        <v/>
      </c>
      <c r="R25" s="31">
        <f>IF(A25="","",IF(F25="次卡",IF(OR(K25="",K25=0,M25=0),"",Q25*O25),IF(F25="期限卡",IF(AND(K25&lt;&gt;"",K25&lt;&gt;0,I25&gt;H25),Q25*P25,""),"")))</f>
        <v/>
      </c>
      <c r="S25" s="57">
        <f>IF(A25="","",IF(COUNTIFS(上课记录!$B:$B,A25,上课记录!$J:$J,"是")&gt;0,_xlfn.MAXIFS(上课记录!$D:$D,上课记录!$B:$B,A25,上课记录!$J:$J,"是"),IF(H25&gt;0,H25,"未上课")))</f>
        <v/>
      </c>
      <c r="T25" s="31">
        <f>IF(A25="",0,IF(S25="未上课",0,IF(S25="",0,TODAY()-S25)))</f>
        <v/>
      </c>
      <c r="U25" s="31">
        <f>IF(OR(AND(F25="次卡",O25=0),AND(F25="期限卡",P25=0)),"已到期",IF(T25&gt;=10,"沉睡客户",IF(T25&gt;=7,"预警客户",IF(T25=0,IF(A25="","待更新","正常"),"正常"))))</f>
        <v/>
      </c>
      <c r="V25" s="11" t="n"/>
      <c r="W25" s="11" t="n"/>
    </row>
    <row r="26">
      <c r="A26" s="44" t="n"/>
      <c r="B26" s="11" t="n"/>
      <c r="C26" s="11" t="n"/>
      <c r="D26" s="11" t="n"/>
      <c r="E26" s="11" t="n"/>
      <c r="F26" s="11" t="n"/>
      <c r="G26" s="55" t="n"/>
      <c r="H26" s="55" t="n"/>
      <c r="I26" s="55" t="n"/>
      <c r="J26" s="56" t="n"/>
      <c r="K26" s="56" t="n"/>
      <c r="L26" s="46">
        <f>K26-J26</f>
        <v/>
      </c>
      <c r="M26" s="47" t="n"/>
      <c r="N26" s="48">
        <f>COUNTIFS(上课记录!$B:$B,A26,上课记录!$J:$J,"是")</f>
        <v/>
      </c>
      <c r="O26" s="31">
        <f>IF(F26="次卡",MAX(0,M26-N26),"—")</f>
        <v/>
      </c>
      <c r="P26" s="31">
        <f>IF(F26="期限卡",MAX(0,I26-TODAY()),"—")</f>
        <v/>
      </c>
      <c r="Q26" s="31">
        <f>IF(A26="","",IF(F26="次卡",IF(OR(K26="",K26=0,M26=0),"",K26/M26),IF(F26="期限卡",IF(AND(K26&lt;&gt;"",K26&lt;&gt;0,I26&gt;H26),K26/(I26-H26),""),"")))</f>
        <v/>
      </c>
      <c r="R26" s="31">
        <f>IF(A26="","",IF(F26="次卡",IF(OR(K26="",K26=0,M26=0),"",Q26*O26),IF(F26="期限卡",IF(AND(K26&lt;&gt;"",K26&lt;&gt;0,I26&gt;H26),Q26*P26,""),"")))</f>
        <v/>
      </c>
      <c r="S26" s="57">
        <f>IF(A26="","",IF(COUNTIFS(上课记录!$B:$B,A26,上课记录!$J:$J,"是")&gt;0,_xlfn.MAXIFS(上课记录!$D:$D,上课记录!$B:$B,A26,上课记录!$J:$J,"是"),IF(H26&gt;0,H26,"未上课")))</f>
        <v/>
      </c>
      <c r="T26" s="31">
        <f>IF(A26="",0,IF(S26="未上课",0,IF(S26="",0,TODAY()-S26)))</f>
        <v/>
      </c>
      <c r="U26" s="31">
        <f>IF(OR(AND(F26="次卡",O26=0),AND(F26="期限卡",P26=0)),"已到期",IF(T26&gt;=10,"沉睡客户",IF(T26&gt;=7,"预警客户",IF(T26=0,IF(A26="","待更新","正常"),"正常"))))</f>
        <v/>
      </c>
      <c r="V26" s="11" t="n"/>
      <c r="W26" s="11" t="n"/>
    </row>
    <row r="27">
      <c r="A27" s="44" t="n"/>
      <c r="B27" s="11" t="n"/>
      <c r="C27" s="11" t="n"/>
      <c r="D27" s="11" t="n"/>
      <c r="E27" s="11" t="n"/>
      <c r="F27" s="11" t="n"/>
      <c r="G27" s="55" t="n"/>
      <c r="H27" s="55" t="n"/>
      <c r="I27" s="55" t="n"/>
      <c r="J27" s="56" t="n"/>
      <c r="K27" s="56" t="n"/>
      <c r="L27" s="46">
        <f>K27-J27</f>
        <v/>
      </c>
      <c r="M27" s="47" t="n"/>
      <c r="N27" s="48">
        <f>COUNTIFS(上课记录!$B:$B,A27,上课记录!$J:$J,"是")</f>
        <v/>
      </c>
      <c r="O27" s="31">
        <f>IF(F27="次卡",MAX(0,M27-N27),"—")</f>
        <v/>
      </c>
      <c r="P27" s="31">
        <f>IF(F27="期限卡",MAX(0,I27-TODAY()),"—")</f>
        <v/>
      </c>
      <c r="Q27" s="31">
        <f>IF(A27="","",IF(F27="次卡",IF(OR(K27="",K27=0,M27=0),"",K27/M27),IF(F27="期限卡",IF(AND(K27&lt;&gt;"",K27&lt;&gt;0,I27&gt;H27),K27/(I27-H27),""),"")))</f>
        <v/>
      </c>
      <c r="R27" s="31">
        <f>IF(A27="","",IF(F27="次卡",IF(OR(K27="",K27=0,M27=0),"",Q27*O27),IF(F27="期限卡",IF(AND(K27&lt;&gt;"",K27&lt;&gt;0,I27&gt;H27),Q27*P27,""),"")))</f>
        <v/>
      </c>
      <c r="S27" s="57">
        <f>IF(A27="","",IF(COUNTIFS(上课记录!$B:$B,A27,上课记录!$J:$J,"是")&gt;0,_xlfn.MAXIFS(上课记录!$D:$D,上课记录!$B:$B,A27,上课记录!$J:$J,"是"),IF(H27&gt;0,H27,"未上课")))</f>
        <v/>
      </c>
      <c r="T27" s="31">
        <f>IF(A27="",0,IF(S27="未上课",0,IF(S27="",0,TODAY()-S27)))</f>
        <v/>
      </c>
      <c r="U27" s="31">
        <f>IF(OR(AND(F27="次卡",O27=0),AND(F27="期限卡",P27=0)),"已到期",IF(T27&gt;=10,"沉睡客户",IF(T27&gt;=7,"预警客户",IF(T27=0,IF(A27="","待更新","正常"),"正常"))))</f>
        <v/>
      </c>
      <c r="V27" s="11" t="n"/>
      <c r="W27" s="11" t="n"/>
    </row>
    <row r="28">
      <c r="A28" s="44" t="n"/>
      <c r="B28" s="11" t="n"/>
      <c r="C28" s="11" t="n"/>
      <c r="D28" s="11" t="n"/>
      <c r="E28" s="11" t="n"/>
      <c r="F28" s="11" t="n"/>
      <c r="G28" s="55" t="n"/>
      <c r="H28" s="55" t="n"/>
      <c r="I28" s="55" t="n"/>
      <c r="J28" s="56" t="n"/>
      <c r="K28" s="56" t="n"/>
      <c r="L28" s="46">
        <f>K28-J28</f>
        <v/>
      </c>
      <c r="M28" s="47" t="n"/>
      <c r="N28" s="48">
        <f>COUNTIFS(上课记录!$B:$B,A28,上课记录!$J:$J,"是")</f>
        <v/>
      </c>
      <c r="O28" s="31">
        <f>IF(F28="次卡",MAX(0,M28-N28),"—")</f>
        <v/>
      </c>
      <c r="P28" s="31">
        <f>IF(F28="期限卡",MAX(0,I28-TODAY()),"—")</f>
        <v/>
      </c>
      <c r="Q28" s="31">
        <f>IF(A28="","",IF(F28="次卡",IF(OR(K28="",K28=0,M28=0),"",K28/M28),IF(F28="期限卡",IF(AND(K28&lt;&gt;"",K28&lt;&gt;0,I28&gt;H28),K28/(I28-H28),""),"")))</f>
        <v/>
      </c>
      <c r="R28" s="31">
        <f>IF(A28="","",IF(F28="次卡",IF(OR(K28="",K28=0,M28=0),"",Q28*O28),IF(F28="期限卡",IF(AND(K28&lt;&gt;"",K28&lt;&gt;0,I28&gt;H28),Q28*P28,""),"")))</f>
        <v/>
      </c>
      <c r="S28" s="57">
        <f>IF(A28="","",IF(COUNTIFS(上课记录!$B:$B,A28,上课记录!$J:$J,"是")&gt;0,_xlfn.MAXIFS(上课记录!$D:$D,上课记录!$B:$B,A28,上课记录!$J:$J,"是"),IF(H28&gt;0,H28,"未上课")))</f>
        <v/>
      </c>
      <c r="T28" s="31">
        <f>IF(A28="",0,IF(S28="未上课",0,IF(S28="",0,TODAY()-S28)))</f>
        <v/>
      </c>
      <c r="U28" s="31">
        <f>IF(OR(AND(F28="次卡",O28=0),AND(F28="期限卡",P28=0)),"已到期",IF(T28&gt;=10,"沉睡客户",IF(T28&gt;=7,"预警客户",IF(T28=0,IF(A28="","待更新","正常"),"正常"))))</f>
        <v/>
      </c>
      <c r="V28" s="11" t="n"/>
      <c r="W28" s="11" t="n"/>
    </row>
    <row r="29">
      <c r="A29" s="44" t="n"/>
      <c r="B29" s="11" t="n"/>
      <c r="C29" s="11" t="n"/>
      <c r="D29" s="11" t="n"/>
      <c r="E29" s="11" t="n"/>
      <c r="F29" s="11" t="n"/>
      <c r="G29" s="55" t="n"/>
      <c r="H29" s="55" t="n"/>
      <c r="I29" s="55" t="n"/>
      <c r="J29" s="56" t="n"/>
      <c r="K29" s="56" t="n"/>
      <c r="L29" s="46">
        <f>K29-J29</f>
        <v/>
      </c>
      <c r="M29" s="47" t="n"/>
      <c r="N29" s="48">
        <f>COUNTIFS(上课记录!$B:$B,A29,上课记录!$J:$J,"是")</f>
        <v/>
      </c>
      <c r="O29" s="31">
        <f>IF(F29="次卡",MAX(0,M29-N29),"—")</f>
        <v/>
      </c>
      <c r="P29" s="31">
        <f>IF(F29="期限卡",MAX(0,I29-TODAY()),"—")</f>
        <v/>
      </c>
      <c r="Q29" s="31">
        <f>IF(A29="","",IF(F29="次卡",IF(OR(K29="",K29=0,M29=0),"",K29/M29),IF(F29="期限卡",IF(AND(K29&lt;&gt;"",K29&lt;&gt;0,I29&gt;H29),K29/(I29-H29),""),"")))</f>
        <v/>
      </c>
      <c r="R29" s="31">
        <f>IF(A29="","",IF(F29="次卡",IF(OR(K29="",K29=0,M29=0),"",Q29*O29),IF(F29="期限卡",IF(AND(K29&lt;&gt;"",K29&lt;&gt;0,I29&gt;H29),Q29*P29,""),"")))</f>
        <v/>
      </c>
      <c r="S29" s="57">
        <f>IF(A29="","",IF(COUNTIFS(上课记录!$B:$B,A29,上课记录!$J:$J,"是")&gt;0,_xlfn.MAXIFS(上课记录!$D:$D,上课记录!$B:$B,A29,上课记录!$J:$J,"是"),IF(H29&gt;0,H29,"未上课")))</f>
        <v/>
      </c>
      <c r="T29" s="31">
        <f>IF(A29="",0,IF(S29="未上课",0,IF(S29="",0,TODAY()-S29)))</f>
        <v/>
      </c>
      <c r="U29" s="31">
        <f>IF(OR(AND(F29="次卡",O29=0),AND(F29="期限卡",P29=0)),"已到期",IF(T29&gt;=10,"沉睡客户",IF(T29&gt;=7,"预警客户",IF(T29=0,IF(A29="","待更新","正常"),"正常"))))</f>
        <v/>
      </c>
      <c r="V29" s="11" t="n"/>
      <c r="W29" s="11" t="n"/>
    </row>
    <row r="30">
      <c r="A30" s="44" t="n"/>
      <c r="B30" s="11" t="n"/>
      <c r="C30" s="11" t="n"/>
      <c r="D30" s="11" t="n"/>
      <c r="E30" s="11" t="n"/>
      <c r="F30" s="11" t="n"/>
      <c r="G30" s="55" t="n"/>
      <c r="H30" s="55" t="n"/>
      <c r="I30" s="55" t="n"/>
      <c r="J30" s="56" t="n"/>
      <c r="K30" s="56" t="n"/>
      <c r="L30" s="46">
        <f>K30-J30</f>
        <v/>
      </c>
      <c r="M30" s="47" t="n"/>
      <c r="N30" s="48">
        <f>COUNTIFS(上课记录!$B:$B,A30,上课记录!$J:$J,"是")</f>
        <v/>
      </c>
      <c r="O30" s="31">
        <f>IF(F30="次卡",MAX(0,M30-N30),"—")</f>
        <v/>
      </c>
      <c r="P30" s="31">
        <f>IF(F30="期限卡",MAX(0,I30-TODAY()),"—")</f>
        <v/>
      </c>
      <c r="Q30" s="31">
        <f>IF(A30="","",IF(F30="次卡",IF(OR(K30="",K30=0,M30=0),"",K30/M30),IF(F30="期限卡",IF(AND(K30&lt;&gt;"",K30&lt;&gt;0,I30&gt;H30),K30/(I30-H30),""),"")))</f>
        <v/>
      </c>
      <c r="R30" s="31">
        <f>IF(A30="","",IF(F30="次卡",IF(OR(K30="",K30=0,M30=0),"",Q30*O30),IF(F30="期限卡",IF(AND(K30&lt;&gt;"",K30&lt;&gt;0,I30&gt;H30),Q30*P30,""),"")))</f>
        <v/>
      </c>
      <c r="S30" s="57">
        <f>IF(A30="","",IF(COUNTIFS(上课记录!$B:$B,A30,上课记录!$J:$J,"是")&gt;0,_xlfn.MAXIFS(上课记录!$D:$D,上课记录!$B:$B,A30,上课记录!$J:$J,"是"),IF(H30&gt;0,H30,"未上课")))</f>
        <v/>
      </c>
      <c r="T30" s="31">
        <f>IF(A30="",0,IF(S30="未上课",0,IF(S30="",0,TODAY()-S30)))</f>
        <v/>
      </c>
      <c r="U30" s="31">
        <f>IF(OR(AND(F30="次卡",O30=0),AND(F30="期限卡",P30=0)),"已到期",IF(T30&gt;=10,"沉睡客户",IF(T30&gt;=7,"预警客户",IF(T30=0,IF(A30="","待更新","正常"),"正常"))))</f>
        <v/>
      </c>
      <c r="V30" s="11" t="n"/>
      <c r="W30" s="11" t="n"/>
    </row>
    <row r="31">
      <c r="A31" s="44" t="n"/>
      <c r="B31" s="11" t="n"/>
      <c r="C31" s="11" t="n"/>
      <c r="D31" s="11" t="n"/>
      <c r="E31" s="11" t="n"/>
      <c r="F31" s="11" t="n"/>
      <c r="G31" s="55" t="n"/>
      <c r="H31" s="55" t="n"/>
      <c r="I31" s="55" t="n"/>
      <c r="J31" s="56" t="n"/>
      <c r="K31" s="56" t="n"/>
      <c r="L31" s="46">
        <f>K31-J31</f>
        <v/>
      </c>
      <c r="M31" s="47" t="n"/>
      <c r="N31" s="48">
        <f>COUNTIFS(上课记录!$B:$B,A31,上课记录!$J:$J,"是")</f>
        <v/>
      </c>
      <c r="O31" s="31">
        <f>IF(F31="次卡",MAX(0,M31-N31),"—")</f>
        <v/>
      </c>
      <c r="P31" s="31">
        <f>IF(F31="期限卡",MAX(0,I31-TODAY()),"—")</f>
        <v/>
      </c>
      <c r="Q31" s="31">
        <f>IF(A31="","",IF(F31="次卡",IF(OR(K31="",K31=0,M31=0),"",K31/M31),IF(F31="期限卡",IF(AND(K31&lt;&gt;"",K31&lt;&gt;0,I31&gt;H31),K31/(I31-H31),""),"")))</f>
        <v/>
      </c>
      <c r="R31" s="31">
        <f>IF(A31="","",IF(F31="次卡",IF(OR(K31="",K31=0,M31=0),"",Q31*O31),IF(F31="期限卡",IF(AND(K31&lt;&gt;"",K31&lt;&gt;0,I31&gt;H31),Q31*P31,""),"")))</f>
        <v/>
      </c>
      <c r="S31" s="57">
        <f>IF(A31="","",IF(COUNTIFS(上课记录!$B:$B,A31,上课记录!$J:$J,"是")&gt;0,_xlfn.MAXIFS(上课记录!$D:$D,上课记录!$B:$B,A31,上课记录!$J:$J,"是"),IF(H31&gt;0,H31,"未上课")))</f>
        <v/>
      </c>
      <c r="T31" s="31">
        <f>IF(A31="",0,IF(S31="未上课",0,IF(S31="",0,TODAY()-S31)))</f>
        <v/>
      </c>
      <c r="U31" s="31">
        <f>IF(OR(AND(F31="次卡",O31=0),AND(F31="期限卡",P31=0)),"已到期",IF(T31&gt;=10,"沉睡客户",IF(T31&gt;=7,"预警客户",IF(T31=0,IF(A31="","待更新","正常"),"正常"))))</f>
        <v/>
      </c>
      <c r="V31" s="11" t="n"/>
      <c r="W31" s="11" t="n"/>
    </row>
    <row r="32">
      <c r="A32" s="44" t="n"/>
      <c r="B32" s="11" t="n"/>
      <c r="C32" s="11" t="n"/>
      <c r="D32" s="11" t="n"/>
      <c r="E32" s="11" t="n"/>
      <c r="F32" s="11" t="n"/>
      <c r="G32" s="55" t="n"/>
      <c r="H32" s="55" t="n"/>
      <c r="I32" s="55" t="n"/>
      <c r="J32" s="56" t="n"/>
      <c r="K32" s="56" t="n"/>
      <c r="L32" s="46">
        <f>K32-J32</f>
        <v/>
      </c>
      <c r="M32" s="47" t="n"/>
      <c r="N32" s="48">
        <f>COUNTIFS(上课记录!$B:$B,A32,上课记录!$J:$J,"是")</f>
        <v/>
      </c>
      <c r="O32" s="31">
        <f>IF(F32="次卡",MAX(0,M32-N32),"—")</f>
        <v/>
      </c>
      <c r="P32" s="31">
        <f>IF(F32="期限卡",MAX(0,I32-TODAY()),"—")</f>
        <v/>
      </c>
      <c r="Q32" s="31">
        <f>IF(A32="","",IF(F32="次卡",IF(OR(K32="",K32=0,M32=0),"",K32/M32),IF(F32="期限卡",IF(AND(K32&lt;&gt;"",K32&lt;&gt;0,I32&gt;H32),K32/(I32-H32),""),"")))</f>
        <v/>
      </c>
      <c r="R32" s="31">
        <f>IF(A32="","",IF(F32="次卡",IF(OR(K32="",K32=0,M32=0),"",Q32*O32),IF(F32="期限卡",IF(AND(K32&lt;&gt;"",K32&lt;&gt;0,I32&gt;H32),Q32*P32,""),"")))</f>
        <v/>
      </c>
      <c r="S32" s="57">
        <f>IF(A32="","",IF(COUNTIFS(上课记录!$B:$B,A32,上课记录!$J:$J,"是")&gt;0,_xlfn.MAXIFS(上课记录!$D:$D,上课记录!$B:$B,A32,上课记录!$J:$J,"是"),IF(H32&gt;0,H32,"未上课")))</f>
        <v/>
      </c>
      <c r="T32" s="31">
        <f>IF(A32="",0,IF(S32="未上课",0,IF(S32="",0,TODAY()-S32)))</f>
        <v/>
      </c>
      <c r="U32" s="31">
        <f>IF(OR(AND(F32="次卡",O32=0),AND(F32="期限卡",P32=0)),"已到期",IF(T32&gt;=10,"沉睡客户",IF(T32&gt;=7,"预警客户",IF(T32=0,IF(A32="","待更新","正常"),"正常"))))</f>
        <v/>
      </c>
      <c r="V32" s="11" t="n"/>
      <c r="W32" s="11" t="n"/>
    </row>
    <row r="33">
      <c r="A33" s="44" t="n"/>
      <c r="B33" s="11" t="n"/>
      <c r="C33" s="11" t="n"/>
      <c r="D33" s="11" t="n"/>
      <c r="E33" s="11" t="n"/>
      <c r="F33" s="11" t="n"/>
      <c r="G33" s="55" t="n"/>
      <c r="H33" s="55" t="n"/>
      <c r="I33" s="55" t="n"/>
      <c r="J33" s="56" t="n"/>
      <c r="K33" s="56" t="n"/>
      <c r="L33" s="46">
        <f>K33-J33</f>
        <v/>
      </c>
      <c r="M33" s="47" t="n"/>
      <c r="N33" s="48">
        <f>COUNTIFS(上课记录!$B:$B,A33,上课记录!$J:$J,"是")</f>
        <v/>
      </c>
      <c r="O33" s="31">
        <f>IF(F33="次卡",MAX(0,M33-N33),"—")</f>
        <v/>
      </c>
      <c r="P33" s="31">
        <f>IF(F33="期限卡",MAX(0,I33-TODAY()),"—")</f>
        <v/>
      </c>
      <c r="Q33" s="31">
        <f>IF(A33="","",IF(F33="次卡",IF(OR(K33="",K33=0,M33=0),"",K33/M33),IF(F33="期限卡",IF(AND(K33&lt;&gt;"",K33&lt;&gt;0,I33&gt;H33),K33/(I33-H33),""),"")))</f>
        <v/>
      </c>
      <c r="R33" s="31">
        <f>IF(A33="","",IF(F33="次卡",IF(OR(K33="",K33=0,M33=0),"",Q33*O33),IF(F33="期限卡",IF(AND(K33&lt;&gt;"",K33&lt;&gt;0,I33&gt;H33),Q33*P33,""),"")))</f>
        <v/>
      </c>
      <c r="S33" s="57">
        <f>IF(A33="","",IF(COUNTIFS(上课记录!$B:$B,A33,上课记录!$J:$J,"是")&gt;0,_xlfn.MAXIFS(上课记录!$D:$D,上课记录!$B:$B,A33,上课记录!$J:$J,"是"),IF(H33&gt;0,H33,"未上课")))</f>
        <v/>
      </c>
      <c r="T33" s="31">
        <f>IF(A33="",0,IF(S33="未上课",0,IF(S33="",0,TODAY()-S33)))</f>
        <v/>
      </c>
      <c r="U33" s="31">
        <f>IF(OR(AND(F33="次卡",O33=0),AND(F33="期限卡",P33=0)),"已到期",IF(T33&gt;=10,"沉睡客户",IF(T33&gt;=7,"预警客户",IF(T33=0,IF(A33="","待更新","正常"),"正常"))))</f>
        <v/>
      </c>
      <c r="V33" s="11" t="n"/>
      <c r="W33" s="11" t="n"/>
    </row>
    <row r="34">
      <c r="A34" s="44" t="n"/>
      <c r="B34" s="11" t="n"/>
      <c r="C34" s="11" t="n"/>
      <c r="D34" s="11" t="n"/>
      <c r="E34" s="11" t="n"/>
      <c r="F34" s="11" t="n"/>
      <c r="G34" s="55" t="n"/>
      <c r="H34" s="55" t="n"/>
      <c r="I34" s="55" t="n"/>
      <c r="J34" s="56" t="n"/>
      <c r="K34" s="56" t="n"/>
      <c r="L34" s="46">
        <f>K34-J34</f>
        <v/>
      </c>
      <c r="M34" s="47" t="n"/>
      <c r="N34" s="48">
        <f>COUNTIFS(上课记录!$B:$B,A34,上课记录!$J:$J,"是")</f>
        <v/>
      </c>
      <c r="O34" s="31">
        <f>IF(F34="次卡",MAX(0,M34-N34),"—")</f>
        <v/>
      </c>
      <c r="P34" s="31">
        <f>IF(F34="期限卡",MAX(0,I34-TODAY()),"—")</f>
        <v/>
      </c>
      <c r="Q34" s="31">
        <f>IF(A34="","",IF(F34="次卡",IF(OR(K34="",K34=0,M34=0),"",K34/M34),IF(F34="期限卡",IF(AND(K34&lt;&gt;"",K34&lt;&gt;0,I34&gt;H34),K34/(I34-H34),""),"")))</f>
        <v/>
      </c>
      <c r="R34" s="31">
        <f>IF(A34="","",IF(F34="次卡",IF(OR(K34="",K34=0,M34=0),"",Q34*O34),IF(F34="期限卡",IF(AND(K34&lt;&gt;"",K34&lt;&gt;0,I34&gt;H34),Q34*P34,""),"")))</f>
        <v/>
      </c>
      <c r="S34" s="57">
        <f>IF(A34="","",IF(COUNTIFS(上课记录!$B:$B,A34,上课记录!$J:$J,"是")&gt;0,_xlfn.MAXIFS(上课记录!$D:$D,上课记录!$B:$B,A34,上课记录!$J:$J,"是"),IF(H34&gt;0,H34,"未上课")))</f>
        <v/>
      </c>
      <c r="T34" s="31">
        <f>IF(A34="",0,IF(S34="未上课",0,IF(S34="",0,TODAY()-S34)))</f>
        <v/>
      </c>
      <c r="U34" s="31">
        <f>IF(OR(AND(F34="次卡",O34=0),AND(F34="期限卡",P34=0)),"已到期",IF(T34&gt;=10,"沉睡客户",IF(T34&gt;=7,"预警客户",IF(T34=0,IF(A34="","待更新","正常"),"正常"))))</f>
        <v/>
      </c>
      <c r="V34" s="11" t="n"/>
      <c r="W34" s="11" t="n"/>
    </row>
    <row r="35">
      <c r="A35" s="44" t="n"/>
      <c r="B35" s="11" t="n"/>
      <c r="C35" s="11" t="n"/>
      <c r="D35" s="11" t="n"/>
      <c r="E35" s="11" t="n"/>
      <c r="F35" s="11" t="n"/>
      <c r="G35" s="55" t="n"/>
      <c r="H35" s="55" t="n"/>
      <c r="I35" s="55" t="n"/>
      <c r="J35" s="56" t="n"/>
      <c r="K35" s="56" t="n"/>
      <c r="L35" s="46">
        <f>K35-J35</f>
        <v/>
      </c>
      <c r="M35" s="47" t="n"/>
      <c r="N35" s="48">
        <f>COUNTIFS(上课记录!$B:$B,A35,上课记录!$J:$J,"是")</f>
        <v/>
      </c>
      <c r="O35" s="31">
        <f>IF(F35="次卡",MAX(0,M35-N35),"—")</f>
        <v/>
      </c>
      <c r="P35" s="31">
        <f>IF(F35="期限卡",MAX(0,I35-TODAY()),"—")</f>
        <v/>
      </c>
      <c r="Q35" s="31">
        <f>IF(A35="","",IF(F35="次卡",IF(OR(K35="",K35=0,M35=0),"",K35/M35),IF(F35="期限卡",IF(AND(K35&lt;&gt;"",K35&lt;&gt;0,I35&gt;H35),K35/(I35-H35),""),"")))</f>
        <v/>
      </c>
      <c r="R35" s="31">
        <f>IF(A35="","",IF(F35="次卡",IF(OR(K35="",K35=0,M35=0),"",Q35*O35),IF(F35="期限卡",IF(AND(K35&lt;&gt;"",K35&lt;&gt;0,I35&gt;H35),Q35*P35,""),"")))</f>
        <v/>
      </c>
      <c r="S35" s="57">
        <f>IF(A35="","",IF(COUNTIFS(上课记录!$B:$B,A35,上课记录!$J:$J,"是")&gt;0,_xlfn.MAXIFS(上课记录!$D:$D,上课记录!$B:$B,A35,上课记录!$J:$J,"是"),IF(H35&gt;0,H35,"未上课")))</f>
        <v/>
      </c>
      <c r="T35" s="31">
        <f>IF(A35="",0,IF(S35="未上课",0,IF(S35="",0,TODAY()-S35)))</f>
        <v/>
      </c>
      <c r="U35" s="31">
        <f>IF(OR(AND(F35="次卡",O35=0),AND(F35="期限卡",P35=0)),"已到期",IF(T35&gt;=10,"沉睡客户",IF(T35&gt;=7,"预警客户",IF(T35=0,IF(A35="","待更新","正常"),"正常"))))</f>
        <v/>
      </c>
      <c r="V35" s="11" t="n"/>
      <c r="W35" s="11" t="n"/>
    </row>
    <row r="36">
      <c r="A36" s="44" t="n"/>
      <c r="B36" s="11" t="n"/>
      <c r="C36" s="11" t="n"/>
      <c r="D36" s="11" t="n"/>
      <c r="E36" s="11" t="n"/>
      <c r="F36" s="11" t="n"/>
      <c r="G36" s="55" t="n"/>
      <c r="H36" s="55" t="n"/>
      <c r="I36" s="55" t="n"/>
      <c r="J36" s="56" t="n"/>
      <c r="K36" s="56" t="n"/>
      <c r="L36" s="46">
        <f>K36-J36</f>
        <v/>
      </c>
      <c r="M36" s="47" t="n"/>
      <c r="N36" s="48">
        <f>COUNTIFS(上课记录!$B:$B,A36,上课记录!$J:$J,"是")</f>
        <v/>
      </c>
      <c r="O36" s="31">
        <f>IF(F36="次卡",MAX(0,M36-N36),"—")</f>
        <v/>
      </c>
      <c r="P36" s="31">
        <f>IF(F36="期限卡",MAX(0,I36-TODAY()),"—")</f>
        <v/>
      </c>
      <c r="Q36" s="31">
        <f>IF(A36="","",IF(F36="次卡",IF(OR(K36="",K36=0,M36=0),"",K36/M36),IF(F36="期限卡",IF(AND(K36&lt;&gt;"",K36&lt;&gt;0,I36&gt;H36),K36/(I36-H36),""),"")))</f>
        <v/>
      </c>
      <c r="R36" s="31">
        <f>IF(A36="","",IF(F36="次卡",IF(OR(K36="",K36=0,M36=0),"",Q36*O36),IF(F36="期限卡",IF(AND(K36&lt;&gt;"",K36&lt;&gt;0,I36&gt;H36),Q36*P36,""),"")))</f>
        <v/>
      </c>
      <c r="S36" s="57">
        <f>IF(A36="","",IF(COUNTIFS(上课记录!$B:$B,A36,上课记录!$J:$J,"是")&gt;0,_xlfn.MAXIFS(上课记录!$D:$D,上课记录!$B:$B,A36,上课记录!$J:$J,"是"),IF(H36&gt;0,H36,"未上课")))</f>
        <v/>
      </c>
      <c r="T36" s="31">
        <f>IF(A36="",0,IF(S36="未上课",0,IF(S36="",0,TODAY()-S36)))</f>
        <v/>
      </c>
      <c r="U36" s="31">
        <f>IF(OR(AND(F36="次卡",O36=0),AND(F36="期限卡",P36=0)),"已到期",IF(T36&gt;=10,"沉睡客户",IF(T36&gt;=7,"预警客户",IF(T36=0,IF(A36="","待更新","正常"),"正常"))))</f>
        <v/>
      </c>
      <c r="V36" s="11" t="n"/>
      <c r="W36" s="11" t="n"/>
    </row>
    <row r="37">
      <c r="A37" s="44" t="n"/>
      <c r="B37" s="11" t="n"/>
      <c r="C37" s="11" t="n"/>
      <c r="D37" s="11" t="n"/>
      <c r="E37" s="11" t="n"/>
      <c r="F37" s="11" t="n"/>
      <c r="G37" s="55" t="n"/>
      <c r="H37" s="55" t="n"/>
      <c r="I37" s="55" t="n"/>
      <c r="J37" s="56" t="n"/>
      <c r="K37" s="56" t="n"/>
      <c r="L37" s="46">
        <f>K37-J37</f>
        <v/>
      </c>
      <c r="M37" s="47" t="n"/>
      <c r="N37" s="48">
        <f>COUNTIFS(上课记录!$B:$B,A37,上课记录!$J:$J,"是")</f>
        <v/>
      </c>
      <c r="O37" s="31">
        <f>IF(F37="次卡",MAX(0,M37-N37),"—")</f>
        <v/>
      </c>
      <c r="P37" s="31">
        <f>IF(F37="期限卡",MAX(0,I37-TODAY()),"—")</f>
        <v/>
      </c>
      <c r="Q37" s="31">
        <f>IF(A37="","",IF(F37="次卡",IF(OR(K37="",K37=0,M37=0),"",K37/M37),IF(F37="期限卡",IF(AND(K37&lt;&gt;"",K37&lt;&gt;0,I37&gt;H37),K37/(I37-H37),""),"")))</f>
        <v/>
      </c>
      <c r="R37" s="31">
        <f>IF(A37="","",IF(F37="次卡",IF(OR(K37="",K37=0,M37=0),"",Q37*O37),IF(F37="期限卡",IF(AND(K37&lt;&gt;"",K37&lt;&gt;0,I37&gt;H37),Q37*P37,""),"")))</f>
        <v/>
      </c>
      <c r="S37" s="57">
        <f>IF(A37="","",IF(COUNTIFS(上课记录!$B:$B,A37,上课记录!$J:$J,"是")&gt;0,_xlfn.MAXIFS(上课记录!$D:$D,上课记录!$B:$B,A37,上课记录!$J:$J,"是"),IF(H37&gt;0,H37,"未上课")))</f>
        <v/>
      </c>
      <c r="T37" s="31">
        <f>IF(A37="",0,IF(S37="未上课",0,IF(S37="",0,TODAY()-S37)))</f>
        <v/>
      </c>
      <c r="U37" s="31">
        <f>IF(OR(AND(F37="次卡",O37=0),AND(F37="期限卡",P37=0)),"已到期",IF(T37&gt;=10,"沉睡客户",IF(T37&gt;=7,"预警客户",IF(T37=0,IF(A37="","待更新","正常"),"正常"))))</f>
        <v/>
      </c>
      <c r="V37" s="11" t="n"/>
      <c r="W37" s="11" t="n"/>
    </row>
    <row r="38">
      <c r="A38" s="44" t="n"/>
      <c r="B38" s="11" t="n"/>
      <c r="C38" s="11" t="n"/>
      <c r="D38" s="11" t="n"/>
      <c r="E38" s="11" t="n"/>
      <c r="F38" s="11" t="n"/>
      <c r="G38" s="55" t="n"/>
      <c r="H38" s="55" t="n"/>
      <c r="I38" s="55" t="n"/>
      <c r="J38" s="56" t="n"/>
      <c r="K38" s="56" t="n"/>
      <c r="L38" s="46">
        <f>K38-J38</f>
        <v/>
      </c>
      <c r="M38" s="47" t="n"/>
      <c r="N38" s="48">
        <f>COUNTIFS(上课记录!$B:$B,A38,上课记录!$J:$J,"是")</f>
        <v/>
      </c>
      <c r="O38" s="31">
        <f>IF(F38="次卡",MAX(0,M38-N38),"—")</f>
        <v/>
      </c>
      <c r="P38" s="31">
        <f>IF(F38="期限卡",MAX(0,I38-TODAY()),"—")</f>
        <v/>
      </c>
      <c r="Q38" s="31">
        <f>IF(A38="","",IF(F38="次卡",IF(OR(K38="",K38=0,M38=0),"",K38/M38),IF(F38="期限卡",IF(AND(K38&lt;&gt;"",K38&lt;&gt;0,I38&gt;H38),K38/(I38-H38),""),"")))</f>
        <v/>
      </c>
      <c r="R38" s="31">
        <f>IF(A38="","",IF(F38="次卡",IF(OR(K38="",K38=0,M38=0),"",Q38*O38),IF(F38="期限卡",IF(AND(K38&lt;&gt;"",K38&lt;&gt;0,I38&gt;H38),Q38*P38,""),"")))</f>
        <v/>
      </c>
      <c r="S38" s="57">
        <f>IF(A38="","",IF(COUNTIFS(上课记录!$B:$B,A38,上课记录!$J:$J,"是")&gt;0,_xlfn.MAXIFS(上课记录!$D:$D,上课记录!$B:$B,A38,上课记录!$J:$J,"是"),IF(H38&gt;0,H38,"未上课")))</f>
        <v/>
      </c>
      <c r="T38" s="31">
        <f>IF(A38="",0,IF(S38="未上课",0,IF(S38="",0,TODAY()-S38)))</f>
        <v/>
      </c>
      <c r="U38" s="31">
        <f>IF(OR(AND(F38="次卡",O38=0),AND(F38="期限卡",P38=0)),"已到期",IF(T38&gt;=10,"沉睡客户",IF(T38&gt;=7,"预警客户",IF(T38=0,IF(A38="","待更新","正常"),"正常"))))</f>
        <v/>
      </c>
      <c r="V38" s="11" t="n"/>
      <c r="W38" s="11" t="n"/>
    </row>
    <row r="39">
      <c r="A39" s="44" t="n"/>
      <c r="B39" s="11" t="n"/>
      <c r="C39" s="11" t="n"/>
      <c r="D39" s="11" t="n"/>
      <c r="E39" s="11" t="n"/>
      <c r="F39" s="11" t="n"/>
      <c r="G39" s="55" t="n"/>
      <c r="H39" s="55" t="n"/>
      <c r="I39" s="55" t="n"/>
      <c r="J39" s="56" t="n"/>
      <c r="K39" s="56" t="n"/>
      <c r="L39" s="46">
        <f>K39-J39</f>
        <v/>
      </c>
      <c r="M39" s="47" t="n"/>
      <c r="N39" s="48">
        <f>COUNTIFS(上课记录!$B:$B,A39,上课记录!$J:$J,"是")</f>
        <v/>
      </c>
      <c r="O39" s="31">
        <f>IF(F39="次卡",MAX(0,M39-N39),"—")</f>
        <v/>
      </c>
      <c r="P39" s="31">
        <f>IF(F39="期限卡",MAX(0,I39-TODAY()),"—")</f>
        <v/>
      </c>
      <c r="Q39" s="31">
        <f>IF(A39="","",IF(F39="次卡",IF(OR(K39="",K39=0,M39=0),"",K39/M39),IF(F39="期限卡",IF(AND(K39&lt;&gt;"",K39&lt;&gt;0,I39&gt;H39),K39/(I39-H39),""),"")))</f>
        <v/>
      </c>
      <c r="R39" s="31">
        <f>IF(A39="","",IF(F39="次卡",IF(OR(K39="",K39=0,M39=0),"",Q39*O39),IF(F39="期限卡",IF(AND(K39&lt;&gt;"",K39&lt;&gt;0,I39&gt;H39),Q39*P39,""),"")))</f>
        <v/>
      </c>
      <c r="S39" s="57">
        <f>IF(A39="","",IF(COUNTIFS(上课记录!$B:$B,A39,上课记录!$J:$J,"是")&gt;0,_xlfn.MAXIFS(上课记录!$D:$D,上课记录!$B:$B,A39,上课记录!$J:$J,"是"),IF(H39&gt;0,H39,"未上课")))</f>
        <v/>
      </c>
      <c r="T39" s="31">
        <f>IF(A39="",0,IF(S39="未上课",0,IF(S39="",0,TODAY()-S39)))</f>
        <v/>
      </c>
      <c r="U39" s="31">
        <f>IF(OR(AND(F39="次卡",O39=0),AND(F39="期限卡",P39=0)),"已到期",IF(T39&gt;=10,"沉睡客户",IF(T39&gt;=7,"预警客户",IF(T39=0,IF(A39="","待更新","正常"),"正常"))))</f>
        <v/>
      </c>
      <c r="V39" s="11" t="n"/>
      <c r="W39" s="11" t="n"/>
    </row>
    <row r="40">
      <c r="A40" s="44" t="n"/>
      <c r="B40" s="11" t="n"/>
      <c r="C40" s="11" t="n"/>
      <c r="D40" s="11" t="n"/>
      <c r="E40" s="11" t="n"/>
      <c r="F40" s="11" t="n"/>
      <c r="G40" s="55" t="n"/>
      <c r="H40" s="55" t="n"/>
      <c r="I40" s="55" t="n"/>
      <c r="J40" s="56" t="n"/>
      <c r="K40" s="56" t="n"/>
      <c r="L40" s="46">
        <f>K40-J40</f>
        <v/>
      </c>
      <c r="M40" s="47" t="n"/>
      <c r="N40" s="48">
        <f>COUNTIFS(上课记录!$B:$B,A40,上课记录!$J:$J,"是")</f>
        <v/>
      </c>
      <c r="O40" s="31">
        <f>IF(F40="次卡",MAX(0,M40-N40),"—")</f>
        <v/>
      </c>
      <c r="P40" s="31">
        <f>IF(F40="期限卡",MAX(0,I40-TODAY()),"—")</f>
        <v/>
      </c>
      <c r="Q40" s="31">
        <f>IF(A40="","",IF(F40="次卡",IF(OR(K40="",K40=0,M40=0),"",K40/M40),IF(F40="期限卡",IF(AND(K40&lt;&gt;"",K40&lt;&gt;0,I40&gt;H40),K40/(I40-H40),""),"")))</f>
        <v/>
      </c>
      <c r="R40" s="31">
        <f>IF(A40="","",IF(F40="次卡",IF(OR(K40="",K40=0,M40=0),"",Q40*O40),IF(F40="期限卡",IF(AND(K40&lt;&gt;"",K40&lt;&gt;0,I40&gt;H40),Q40*P40,""),"")))</f>
        <v/>
      </c>
      <c r="S40" s="57">
        <f>IF(A40="","",IF(COUNTIFS(上课记录!$B:$B,A40,上课记录!$J:$J,"是")&gt;0,_xlfn.MAXIFS(上课记录!$D:$D,上课记录!$B:$B,A40,上课记录!$J:$J,"是"),IF(H40&gt;0,H40,"未上课")))</f>
        <v/>
      </c>
      <c r="T40" s="31">
        <f>IF(A40="",0,IF(S40="未上课",0,IF(S40="",0,TODAY()-S40)))</f>
        <v/>
      </c>
      <c r="U40" s="31">
        <f>IF(OR(AND(F40="次卡",O40=0),AND(F40="期限卡",P40=0)),"已到期",IF(T40&gt;=10,"沉睡客户",IF(T40&gt;=7,"预警客户",IF(T40=0,IF(A40="","待更新","正常"),"正常"))))</f>
        <v/>
      </c>
      <c r="V40" s="11" t="n"/>
      <c r="W40" s="11" t="n"/>
    </row>
    <row r="41">
      <c r="A41" s="44" t="n"/>
      <c r="B41" s="11" t="n"/>
      <c r="C41" s="11" t="n"/>
      <c r="D41" s="11" t="n"/>
      <c r="E41" s="11" t="n"/>
      <c r="F41" s="11" t="n"/>
      <c r="G41" s="55" t="n"/>
      <c r="H41" s="55" t="n"/>
      <c r="I41" s="55" t="n"/>
      <c r="J41" s="56" t="n"/>
      <c r="K41" s="56" t="n"/>
      <c r="L41" s="46">
        <f>K41-J41</f>
        <v/>
      </c>
      <c r="M41" s="47" t="n"/>
      <c r="N41" s="48">
        <f>COUNTIFS(上课记录!$B:$B,A41,上课记录!$J:$J,"是")</f>
        <v/>
      </c>
      <c r="O41" s="31">
        <f>IF(F41="次卡",MAX(0,M41-N41),"—")</f>
        <v/>
      </c>
      <c r="P41" s="31">
        <f>IF(F41="期限卡",MAX(0,I41-TODAY()),"—")</f>
        <v/>
      </c>
      <c r="Q41" s="31">
        <f>IF(A41="","",IF(F41="次卡",IF(OR(K41="",K41=0,M41=0),"",K41/M41),IF(F41="期限卡",IF(AND(K41&lt;&gt;"",K41&lt;&gt;0,I41&gt;H41),K41/(I41-H41),""),"")))</f>
        <v/>
      </c>
      <c r="R41" s="31">
        <f>IF(A41="","",IF(F41="次卡",IF(OR(K41="",K41=0,M41=0),"",Q41*O41),IF(F41="期限卡",IF(AND(K41&lt;&gt;"",K41&lt;&gt;0,I41&gt;H41),Q41*P41,""),"")))</f>
        <v/>
      </c>
      <c r="S41" s="57">
        <f>IF(A41="","",IF(COUNTIFS(上课记录!$B:$B,A41,上课记录!$J:$J,"是")&gt;0,_xlfn.MAXIFS(上课记录!$D:$D,上课记录!$B:$B,A41,上课记录!$J:$J,"是"),IF(H41&gt;0,H41,"未上课")))</f>
        <v/>
      </c>
      <c r="T41" s="31">
        <f>IF(A41="",0,IF(S41="未上课",0,IF(S41="",0,TODAY()-S41)))</f>
        <v/>
      </c>
      <c r="U41" s="31">
        <f>IF(OR(AND(F41="次卡",O41=0),AND(F41="期限卡",P41=0)),"已到期",IF(T41&gt;=10,"沉睡客户",IF(T41&gt;=7,"预警客户",IF(T41=0,IF(A41="","待更新","正常"),"正常"))))</f>
        <v/>
      </c>
      <c r="V41" s="11" t="n"/>
      <c r="W41" s="11" t="n"/>
    </row>
    <row r="42">
      <c r="A42" s="44" t="n"/>
      <c r="B42" s="11" t="n"/>
      <c r="C42" s="11" t="n"/>
      <c r="D42" s="11" t="n"/>
      <c r="E42" s="11" t="n"/>
      <c r="F42" s="11" t="n"/>
      <c r="G42" s="55" t="n"/>
      <c r="H42" s="55" t="n"/>
      <c r="I42" s="55" t="n"/>
      <c r="J42" s="56" t="n"/>
      <c r="K42" s="56" t="n"/>
      <c r="L42" s="46">
        <f>K42-J42</f>
        <v/>
      </c>
      <c r="M42" s="47" t="n"/>
      <c r="N42" s="48">
        <f>COUNTIFS(上课记录!$B:$B,A42,上课记录!$J:$J,"是")</f>
        <v/>
      </c>
      <c r="O42" s="31">
        <f>IF(F42="次卡",MAX(0,M42-N42),"—")</f>
        <v/>
      </c>
      <c r="P42" s="31">
        <f>IF(F42="期限卡",MAX(0,I42-TODAY()),"—")</f>
        <v/>
      </c>
      <c r="Q42" s="31">
        <f>IF(A42="","",IF(F42="次卡",IF(OR(K42="",K42=0,M42=0),"",K42/M42),IF(F42="期限卡",IF(AND(K42&lt;&gt;"",K42&lt;&gt;0,I42&gt;H42),K42/(I42-H42),""),"")))</f>
        <v/>
      </c>
      <c r="R42" s="31">
        <f>IF(A42="","",IF(F42="次卡",IF(OR(K42="",K42=0,M42=0),"",Q42*O42),IF(F42="期限卡",IF(AND(K42&lt;&gt;"",K42&lt;&gt;0,I42&gt;H42),Q42*P42,""),"")))</f>
        <v/>
      </c>
      <c r="S42" s="57">
        <f>IF(A42="","",IF(COUNTIFS(上课记录!$B:$B,A42,上课记录!$J:$J,"是")&gt;0,_xlfn.MAXIFS(上课记录!$D:$D,上课记录!$B:$B,A42,上课记录!$J:$J,"是"),IF(H42&gt;0,H42,"未上课")))</f>
        <v/>
      </c>
      <c r="T42" s="31">
        <f>IF(A42="",0,IF(S42="未上课",0,IF(S42="",0,TODAY()-S42)))</f>
        <v/>
      </c>
      <c r="U42" s="31">
        <f>IF(OR(AND(F42="次卡",O42=0),AND(F42="期限卡",P42=0)),"已到期",IF(T42&gt;=10,"沉睡客户",IF(T42&gt;=7,"预警客户",IF(T42=0,IF(A42="","待更新","正常"),"正常"))))</f>
        <v/>
      </c>
      <c r="V42" s="11" t="n"/>
      <c r="W42" s="11" t="n"/>
    </row>
    <row r="43">
      <c r="A43" s="44" t="n"/>
      <c r="B43" s="11" t="n"/>
      <c r="C43" s="11" t="n"/>
      <c r="D43" s="11" t="n"/>
      <c r="E43" s="11" t="n"/>
      <c r="F43" s="11" t="n"/>
      <c r="G43" s="55" t="n"/>
      <c r="H43" s="55" t="n"/>
      <c r="I43" s="55" t="n"/>
      <c r="J43" s="56" t="n"/>
      <c r="K43" s="56" t="n"/>
      <c r="L43" s="46">
        <f>K43-J43</f>
        <v/>
      </c>
      <c r="M43" s="47" t="n"/>
      <c r="N43" s="48">
        <f>COUNTIFS(上课记录!$B:$B,A43,上课记录!$J:$J,"是")</f>
        <v/>
      </c>
      <c r="O43" s="31">
        <f>IF(F43="次卡",MAX(0,M43-N43),"—")</f>
        <v/>
      </c>
      <c r="P43" s="31">
        <f>IF(F43="期限卡",MAX(0,I43-TODAY()),"—")</f>
        <v/>
      </c>
      <c r="Q43" s="31">
        <f>IF(A43="","",IF(F43="次卡",IF(OR(K43="",K43=0,M43=0),"",K43/M43),IF(F43="期限卡",IF(AND(K43&lt;&gt;"",K43&lt;&gt;0,I43&gt;H43),K43/(I43-H43),""),"")))</f>
        <v/>
      </c>
      <c r="R43" s="31">
        <f>IF(A43="","",IF(F43="次卡",IF(OR(K43="",K43=0,M43=0),"",Q43*O43),IF(F43="期限卡",IF(AND(K43&lt;&gt;"",K43&lt;&gt;0,I43&gt;H43),Q43*P43,""),"")))</f>
        <v/>
      </c>
      <c r="S43" s="57">
        <f>IF(A43="","",IF(COUNTIFS(上课记录!$B:$B,A43,上课记录!$J:$J,"是")&gt;0,_xlfn.MAXIFS(上课记录!$D:$D,上课记录!$B:$B,A43,上课记录!$J:$J,"是"),IF(H43&gt;0,H43,"未上课")))</f>
        <v/>
      </c>
      <c r="T43" s="31">
        <f>IF(A43="",0,IF(S43="未上课",0,IF(S43="",0,TODAY()-S43)))</f>
        <v/>
      </c>
      <c r="U43" s="31">
        <f>IF(OR(AND(F43="次卡",O43=0),AND(F43="期限卡",P43=0)),"已到期",IF(T43&gt;=10,"沉睡客户",IF(T43&gt;=7,"预警客户",IF(T43=0,IF(A43="","待更新","正常"),"正常"))))</f>
        <v/>
      </c>
      <c r="V43" s="11" t="n"/>
      <c r="W43" s="11" t="n"/>
    </row>
    <row r="44">
      <c r="A44" s="44" t="n"/>
      <c r="B44" s="11" t="n"/>
      <c r="C44" s="11" t="n"/>
      <c r="D44" s="11" t="n"/>
      <c r="E44" s="11" t="n"/>
      <c r="F44" s="11" t="n"/>
      <c r="G44" s="55" t="n"/>
      <c r="H44" s="55" t="n"/>
      <c r="I44" s="55" t="n"/>
      <c r="J44" s="56" t="n"/>
      <c r="K44" s="56" t="n"/>
      <c r="L44" s="46">
        <f>K44-J44</f>
        <v/>
      </c>
      <c r="M44" s="47" t="n"/>
      <c r="N44" s="48">
        <f>COUNTIFS(上课记录!$B:$B,A44,上课记录!$J:$J,"是")</f>
        <v/>
      </c>
      <c r="O44" s="31">
        <f>IF(F44="次卡",MAX(0,M44-N44),"—")</f>
        <v/>
      </c>
      <c r="P44" s="31">
        <f>IF(F44="期限卡",MAX(0,I44-TODAY()),"—")</f>
        <v/>
      </c>
      <c r="Q44" s="31">
        <f>IF(A44="","",IF(F44="次卡",IF(OR(K44="",K44=0,M44=0),"",K44/M44),IF(F44="期限卡",IF(AND(K44&lt;&gt;"",K44&lt;&gt;0,I44&gt;H44),K44/(I44-H44),""),"")))</f>
        <v/>
      </c>
      <c r="R44" s="31">
        <f>IF(A44="","",IF(F44="次卡",IF(OR(K44="",K44=0,M44=0),"",Q44*O44),IF(F44="期限卡",IF(AND(K44&lt;&gt;"",K44&lt;&gt;0,I44&gt;H44),Q44*P44,""),"")))</f>
        <v/>
      </c>
      <c r="S44" s="57">
        <f>IF(A44="","",IF(COUNTIFS(上课记录!$B:$B,A44,上课记录!$J:$J,"是")&gt;0,_xlfn.MAXIFS(上课记录!$D:$D,上课记录!$B:$B,A44,上课记录!$J:$J,"是"),IF(H44&gt;0,H44,"未上课")))</f>
        <v/>
      </c>
      <c r="T44" s="31">
        <f>IF(A44="",0,IF(S44="未上课",0,IF(S44="",0,TODAY()-S44)))</f>
        <v/>
      </c>
      <c r="U44" s="31">
        <f>IF(OR(AND(F44="次卡",O44=0),AND(F44="期限卡",P44=0)),"已到期",IF(T44&gt;=10,"沉睡客户",IF(T44&gt;=7,"预警客户",IF(T44=0,IF(A44="","待更新","正常"),"正常"))))</f>
        <v/>
      </c>
      <c r="V44" s="11" t="n"/>
      <c r="W44" s="11" t="n"/>
    </row>
    <row r="45">
      <c r="A45" s="44" t="n"/>
      <c r="B45" s="11" t="n"/>
      <c r="C45" s="11" t="n"/>
      <c r="D45" s="11" t="n"/>
      <c r="E45" s="11" t="n"/>
      <c r="F45" s="11" t="n"/>
      <c r="G45" s="55" t="n"/>
      <c r="H45" s="55" t="n"/>
      <c r="I45" s="55" t="n"/>
      <c r="J45" s="56" t="n"/>
      <c r="K45" s="56" t="n"/>
      <c r="L45" s="46">
        <f>K45-J45</f>
        <v/>
      </c>
      <c r="M45" s="47" t="n"/>
      <c r="N45" s="48">
        <f>COUNTIFS(上课记录!$B:$B,A45,上课记录!$J:$J,"是")</f>
        <v/>
      </c>
      <c r="O45" s="31">
        <f>IF(F45="次卡",MAX(0,M45-N45),"—")</f>
        <v/>
      </c>
      <c r="P45" s="31">
        <f>IF(F45="期限卡",MAX(0,I45-TODAY()),"—")</f>
        <v/>
      </c>
      <c r="Q45" s="31">
        <f>IF(A45="","",IF(F45="次卡",IF(OR(K45="",K45=0,M45=0),"",K45/M45),IF(F45="期限卡",IF(AND(K45&lt;&gt;"",K45&lt;&gt;0,I45&gt;H45),K45/(I45-H45),""),"")))</f>
        <v/>
      </c>
      <c r="R45" s="31">
        <f>IF(A45="","",IF(F45="次卡",IF(OR(K45="",K45=0,M45=0),"",Q45*O45),IF(F45="期限卡",IF(AND(K45&lt;&gt;"",K45&lt;&gt;0,I45&gt;H45),Q45*P45,""),"")))</f>
        <v/>
      </c>
      <c r="S45" s="57">
        <f>IF(A45="","",IF(COUNTIFS(上课记录!$B:$B,A45,上课记录!$J:$J,"是")&gt;0,_xlfn.MAXIFS(上课记录!$D:$D,上课记录!$B:$B,A45,上课记录!$J:$J,"是"),IF(H45&gt;0,H45,"未上课")))</f>
        <v/>
      </c>
      <c r="T45" s="31">
        <f>IF(A45="",0,IF(S45="未上课",0,IF(S45="",0,TODAY()-S45)))</f>
        <v/>
      </c>
      <c r="U45" s="31">
        <f>IF(OR(AND(F45="次卡",O45=0),AND(F45="期限卡",P45=0)),"已到期",IF(T45&gt;=10,"沉睡客户",IF(T45&gt;=7,"预警客户",IF(T45=0,IF(A45="","待更新","正常"),"正常"))))</f>
        <v/>
      </c>
      <c r="V45" s="11" t="n"/>
      <c r="W45" s="11" t="n"/>
    </row>
    <row r="46">
      <c r="A46" s="44" t="n"/>
      <c r="B46" s="11" t="n"/>
      <c r="C46" s="11" t="n"/>
      <c r="D46" s="11" t="n"/>
      <c r="E46" s="11" t="n"/>
      <c r="F46" s="11" t="n"/>
      <c r="G46" s="55" t="n"/>
      <c r="H46" s="55" t="n"/>
      <c r="I46" s="55" t="n"/>
      <c r="J46" s="56" t="n"/>
      <c r="K46" s="56" t="n"/>
      <c r="L46" s="46">
        <f>K46-J46</f>
        <v/>
      </c>
      <c r="M46" s="47" t="n"/>
      <c r="N46" s="48">
        <f>COUNTIFS(上课记录!$B:$B,A46,上课记录!$J:$J,"是")</f>
        <v/>
      </c>
      <c r="O46" s="31">
        <f>IF(F46="次卡",MAX(0,M46-N46),"—")</f>
        <v/>
      </c>
      <c r="P46" s="31">
        <f>IF(F46="期限卡",MAX(0,I46-TODAY()),"—")</f>
        <v/>
      </c>
      <c r="Q46" s="31">
        <f>IF(A46="","",IF(F46="次卡",IF(OR(K46="",K46=0,M46=0),"",K46/M46),IF(F46="期限卡",IF(AND(K46&lt;&gt;"",K46&lt;&gt;0,I46&gt;H46),K46/(I46-H46),""),"")))</f>
        <v/>
      </c>
      <c r="R46" s="31">
        <f>IF(A46="","",IF(F46="次卡",IF(OR(K46="",K46=0,M46=0),"",Q46*O46),IF(F46="期限卡",IF(AND(K46&lt;&gt;"",K46&lt;&gt;0,I46&gt;H46),Q46*P46,""),"")))</f>
        <v/>
      </c>
      <c r="S46" s="57">
        <f>IF(A46="","",IF(COUNTIFS(上课记录!$B:$B,A46,上课记录!$J:$J,"是")&gt;0,_xlfn.MAXIFS(上课记录!$D:$D,上课记录!$B:$B,A46,上课记录!$J:$J,"是"),IF(H46&gt;0,H46,"未上课")))</f>
        <v/>
      </c>
      <c r="T46" s="31">
        <f>IF(A46="",0,IF(S46="未上课",0,IF(S46="",0,TODAY()-S46)))</f>
        <v/>
      </c>
      <c r="U46" s="31">
        <f>IF(OR(AND(F46="次卡",O46=0),AND(F46="期限卡",P46=0)),"已到期",IF(T46&gt;=10,"沉睡客户",IF(T46&gt;=7,"预警客户",IF(T46=0,IF(A46="","待更新","正常"),"正常"))))</f>
        <v/>
      </c>
      <c r="V46" s="11" t="n"/>
      <c r="W46" s="11" t="n"/>
    </row>
    <row r="47">
      <c r="A47" s="44" t="n"/>
      <c r="B47" s="11" t="n"/>
      <c r="C47" s="11" t="n"/>
      <c r="D47" s="11" t="n"/>
      <c r="E47" s="11" t="n"/>
      <c r="F47" s="11" t="n"/>
      <c r="G47" s="55" t="n"/>
      <c r="H47" s="55" t="n"/>
      <c r="I47" s="55" t="n"/>
      <c r="J47" s="56" t="n"/>
      <c r="K47" s="56" t="n"/>
      <c r="L47" s="46">
        <f>K47-J47</f>
        <v/>
      </c>
      <c r="M47" s="47" t="n"/>
      <c r="N47" s="48">
        <f>COUNTIFS(上课记录!$B:$B,A47,上课记录!$J:$J,"是")</f>
        <v/>
      </c>
      <c r="O47" s="31">
        <f>IF(F47="次卡",MAX(0,M47-N47),"—")</f>
        <v/>
      </c>
      <c r="P47" s="31">
        <f>IF(F47="期限卡",MAX(0,I47-TODAY()),"—")</f>
        <v/>
      </c>
      <c r="Q47" s="31">
        <f>IF(A47="","",IF(F47="次卡",IF(OR(K47="",K47=0,M47=0),"",K47/M47),IF(F47="期限卡",IF(AND(K47&lt;&gt;"",K47&lt;&gt;0,I47&gt;H47),K47/(I47-H47),""),"")))</f>
        <v/>
      </c>
      <c r="R47" s="31">
        <f>IF(A47="","",IF(F47="次卡",IF(OR(K47="",K47=0,M47=0),"",Q47*O47),IF(F47="期限卡",IF(AND(K47&lt;&gt;"",K47&lt;&gt;0,I47&gt;H47),Q47*P47,""),"")))</f>
        <v/>
      </c>
      <c r="S47" s="57">
        <f>IF(A47="","",IF(COUNTIFS(上课记录!$B:$B,A47,上课记录!$J:$J,"是")&gt;0,_xlfn.MAXIFS(上课记录!$D:$D,上课记录!$B:$B,A47,上课记录!$J:$J,"是"),IF(H47&gt;0,H47,"未上课")))</f>
        <v/>
      </c>
      <c r="T47" s="31">
        <f>IF(A47="",0,IF(S47="未上课",0,IF(S47="",0,TODAY()-S47)))</f>
        <v/>
      </c>
      <c r="U47" s="31">
        <f>IF(OR(AND(F47="次卡",O47=0),AND(F47="期限卡",P47=0)),"已到期",IF(T47&gt;=10,"沉睡客户",IF(T47&gt;=7,"预警客户",IF(T47=0,IF(A47="","待更新","正常"),"正常"))))</f>
        <v/>
      </c>
      <c r="V47" s="11" t="n"/>
      <c r="W47" s="11" t="n"/>
    </row>
    <row r="48">
      <c r="A48" s="44" t="n"/>
      <c r="B48" s="11" t="n"/>
      <c r="C48" s="11" t="n"/>
      <c r="D48" s="11" t="n"/>
      <c r="E48" s="11" t="n"/>
      <c r="F48" s="11" t="n"/>
      <c r="G48" s="55" t="n"/>
      <c r="H48" s="55" t="n"/>
      <c r="I48" s="55" t="n"/>
      <c r="J48" s="56" t="n"/>
      <c r="K48" s="56" t="n"/>
      <c r="L48" s="46">
        <f>K48-J48</f>
        <v/>
      </c>
      <c r="M48" s="47" t="n"/>
      <c r="N48" s="48">
        <f>COUNTIFS(上课记录!$B:$B,A48,上课记录!$J:$J,"是")</f>
        <v/>
      </c>
      <c r="O48" s="31">
        <f>IF(F48="次卡",MAX(0,M48-N48),"—")</f>
        <v/>
      </c>
      <c r="P48" s="31">
        <f>IF(F48="期限卡",MAX(0,I48-TODAY()),"—")</f>
        <v/>
      </c>
      <c r="Q48" s="31">
        <f>IF(A48="","",IF(F48="次卡",IF(OR(K48="",K48=0,M48=0),"",K48/M48),IF(F48="期限卡",IF(AND(K48&lt;&gt;"",K48&lt;&gt;0,I48&gt;H48),K48/(I48-H48),""),"")))</f>
        <v/>
      </c>
      <c r="R48" s="31">
        <f>IF(A48="","",IF(F48="次卡",IF(OR(K48="",K48=0,M48=0),"",Q48*O48),IF(F48="期限卡",IF(AND(K48&lt;&gt;"",K48&lt;&gt;0,I48&gt;H48),Q48*P48,""),"")))</f>
        <v/>
      </c>
      <c r="S48" s="57">
        <f>IF(A48="","",IF(COUNTIFS(上课记录!$B:$B,A48,上课记录!$J:$J,"是")&gt;0,_xlfn.MAXIFS(上课记录!$D:$D,上课记录!$B:$B,A48,上课记录!$J:$J,"是"),IF(H48&gt;0,H48,"未上课")))</f>
        <v/>
      </c>
      <c r="T48" s="31">
        <f>IF(A48="",0,IF(S48="未上课",0,IF(S48="",0,TODAY()-S48)))</f>
        <v/>
      </c>
      <c r="U48" s="31">
        <f>IF(OR(AND(F48="次卡",O48=0),AND(F48="期限卡",P48=0)),"已到期",IF(T48&gt;=10,"沉睡客户",IF(T48&gt;=7,"预警客户",IF(T48=0,IF(A48="","待更新","正常"),"正常"))))</f>
        <v/>
      </c>
      <c r="V48" s="11" t="n"/>
      <c r="W48" s="11" t="n"/>
    </row>
    <row r="49">
      <c r="A49" s="44" t="n"/>
      <c r="B49" s="11" t="n"/>
      <c r="C49" s="11" t="n"/>
      <c r="D49" s="11" t="n"/>
      <c r="E49" s="11" t="n"/>
      <c r="F49" s="11" t="n"/>
      <c r="G49" s="55" t="n"/>
      <c r="H49" s="55" t="n"/>
      <c r="I49" s="55" t="n"/>
      <c r="J49" s="56" t="n"/>
      <c r="K49" s="56" t="n"/>
      <c r="L49" s="46">
        <f>K49-J49</f>
        <v/>
      </c>
      <c r="M49" s="47" t="n"/>
      <c r="N49" s="48">
        <f>COUNTIFS(上课记录!$B:$B,A49,上课记录!$J:$J,"是")</f>
        <v/>
      </c>
      <c r="O49" s="31">
        <f>IF(F49="次卡",MAX(0,M49-N49),"—")</f>
        <v/>
      </c>
      <c r="P49" s="31">
        <f>IF(F49="期限卡",MAX(0,I49-TODAY()),"—")</f>
        <v/>
      </c>
      <c r="Q49" s="31">
        <f>IF(A49="","",IF(F49="次卡",IF(OR(K49="",K49=0,M49=0),"",K49/M49),IF(F49="期限卡",IF(AND(K49&lt;&gt;"",K49&lt;&gt;0,I49&gt;H49),K49/(I49-H49),""),"")))</f>
        <v/>
      </c>
      <c r="R49" s="31">
        <f>IF(A49="","",IF(F49="次卡",IF(OR(K49="",K49=0,M49=0),"",Q49*O49),IF(F49="期限卡",IF(AND(K49&lt;&gt;"",K49&lt;&gt;0,I49&gt;H49),Q49*P49,""),"")))</f>
        <v/>
      </c>
      <c r="S49" s="57">
        <f>IF(A49="","",IF(COUNTIFS(上课记录!$B:$B,A49,上课记录!$J:$J,"是")&gt;0,_xlfn.MAXIFS(上课记录!$D:$D,上课记录!$B:$B,A49,上课记录!$J:$J,"是"),IF(H49&gt;0,H49,"未上课")))</f>
        <v/>
      </c>
      <c r="T49" s="31">
        <f>IF(A49="",0,IF(S49="未上课",0,IF(S49="",0,TODAY()-S49)))</f>
        <v/>
      </c>
      <c r="U49" s="31">
        <f>IF(OR(AND(F49="次卡",O49=0),AND(F49="期限卡",P49=0)),"已到期",IF(T49&gt;=10,"沉睡客户",IF(T49&gt;=7,"预警客户",IF(T49=0,IF(A49="","待更新","正常"),"正常"))))</f>
        <v/>
      </c>
      <c r="V49" s="11" t="n"/>
      <c r="W49" s="11" t="n"/>
    </row>
    <row r="50">
      <c r="A50" s="44" t="n"/>
      <c r="B50" s="11" t="n"/>
      <c r="C50" s="11" t="n"/>
      <c r="D50" s="11" t="n"/>
      <c r="E50" s="11" t="n"/>
      <c r="F50" s="11" t="n"/>
      <c r="G50" s="55" t="n"/>
      <c r="H50" s="55" t="n"/>
      <c r="I50" s="55" t="n"/>
      <c r="J50" s="56" t="n"/>
      <c r="K50" s="56" t="n"/>
      <c r="L50" s="46">
        <f>K50-J50</f>
        <v/>
      </c>
      <c r="M50" s="47" t="n"/>
      <c r="N50" s="48">
        <f>COUNTIFS(上课记录!$B:$B,A50,上课记录!$J:$J,"是")</f>
        <v/>
      </c>
      <c r="O50" s="31">
        <f>IF(F50="次卡",MAX(0,M50-N50),"—")</f>
        <v/>
      </c>
      <c r="P50" s="31">
        <f>IF(F50="期限卡",MAX(0,I50-TODAY()),"—")</f>
        <v/>
      </c>
      <c r="Q50" s="31">
        <f>IF(A50="","",IF(F50="次卡",IF(OR(K50="",K50=0,M50=0),"",K50/M50),IF(F50="期限卡",IF(AND(K50&lt;&gt;"",K50&lt;&gt;0,I50&gt;H50),K50/(I50-H50),""),"")))</f>
        <v/>
      </c>
      <c r="R50" s="31">
        <f>IF(A50="","",IF(F50="次卡",IF(OR(K50="",K50=0,M50=0),"",Q50*O50),IF(F50="期限卡",IF(AND(K50&lt;&gt;"",K50&lt;&gt;0,I50&gt;H50),Q50*P50,""),"")))</f>
        <v/>
      </c>
      <c r="S50" s="57">
        <f>IF(A50="","",IF(COUNTIFS(上课记录!$B:$B,A50,上课记录!$J:$J,"是")&gt;0,_xlfn.MAXIFS(上课记录!$D:$D,上课记录!$B:$B,A50,上课记录!$J:$J,"是"),IF(H50&gt;0,H50,"未上课")))</f>
        <v/>
      </c>
      <c r="T50" s="31">
        <f>IF(A50="",0,IF(S50="未上课",0,IF(S50="",0,TODAY()-S50)))</f>
        <v/>
      </c>
      <c r="U50" s="31">
        <f>IF(OR(AND(F50="次卡",O50=0),AND(F50="期限卡",P50=0)),"已到期",IF(T50&gt;=10,"沉睡客户",IF(T50&gt;=7,"预警客户",IF(T50=0,IF(A50="","待更新","正常"),"正常"))))</f>
        <v/>
      </c>
      <c r="V50" s="11" t="n"/>
      <c r="W50" s="11" t="n"/>
    </row>
    <row r="51">
      <c r="A51" s="44" t="n"/>
      <c r="B51" s="11" t="n"/>
      <c r="C51" s="11" t="n"/>
      <c r="D51" s="11" t="n"/>
      <c r="E51" s="11" t="n"/>
      <c r="F51" s="11" t="n"/>
      <c r="G51" s="55" t="n"/>
      <c r="H51" s="55" t="n"/>
      <c r="I51" s="55" t="n"/>
      <c r="J51" s="56" t="n"/>
      <c r="K51" s="56" t="n"/>
      <c r="L51" s="46">
        <f>K51-J51</f>
        <v/>
      </c>
      <c r="M51" s="47" t="n"/>
      <c r="N51" s="48">
        <f>COUNTIFS(上课记录!$B:$B,A51,上课记录!$J:$J,"是")</f>
        <v/>
      </c>
      <c r="O51" s="31">
        <f>IF(F51="次卡",MAX(0,M51-N51),"—")</f>
        <v/>
      </c>
      <c r="P51" s="31">
        <f>IF(F51="期限卡",MAX(0,I51-TODAY()),"—")</f>
        <v/>
      </c>
      <c r="Q51" s="31">
        <f>IF(A51="","",IF(F51="次卡",IF(OR(K51="",K51=0,M51=0),"",K51/M51),IF(F51="期限卡",IF(AND(K51&lt;&gt;"",K51&lt;&gt;0,I51&gt;H51),K51/(I51-H51),""),"")))</f>
        <v/>
      </c>
      <c r="R51" s="31">
        <f>IF(A51="","",IF(F51="次卡",IF(OR(K51="",K51=0,M51=0),"",Q51*O51),IF(F51="期限卡",IF(AND(K51&lt;&gt;"",K51&lt;&gt;0,I51&gt;H51),Q51*P51,""),"")))</f>
        <v/>
      </c>
      <c r="S51" s="57">
        <f>IF(A51="","",IF(COUNTIFS(上课记录!$B:$B,A51,上课记录!$J:$J,"是")&gt;0,_xlfn.MAXIFS(上课记录!$D:$D,上课记录!$B:$B,A51,上课记录!$J:$J,"是"),IF(H51&gt;0,H51,"未上课")))</f>
        <v/>
      </c>
      <c r="T51" s="31">
        <f>IF(A51="",0,IF(S51="未上课",0,IF(S51="",0,TODAY()-S51)))</f>
        <v/>
      </c>
      <c r="U51" s="31">
        <f>IF(OR(AND(F51="次卡",O51=0),AND(F51="期限卡",P51=0)),"已到期",IF(T51&gt;=10,"沉睡客户",IF(T51&gt;=7,"预警客户",IF(T51=0,IF(A51="","待更新","正常"),"正常"))))</f>
        <v/>
      </c>
      <c r="V51" s="11" t="n"/>
      <c r="W51" s="11" t="n"/>
    </row>
    <row r="52">
      <c r="A52" s="44" t="n"/>
      <c r="B52" s="11" t="n"/>
      <c r="C52" s="11" t="n"/>
      <c r="D52" s="11" t="n"/>
      <c r="E52" s="11" t="n"/>
      <c r="F52" s="11" t="n"/>
      <c r="G52" s="55" t="n"/>
      <c r="H52" s="55" t="n"/>
      <c r="I52" s="55" t="n"/>
      <c r="J52" s="56" t="n"/>
      <c r="K52" s="56" t="n"/>
      <c r="L52" s="46">
        <f>K52-J52</f>
        <v/>
      </c>
      <c r="M52" s="47" t="n"/>
      <c r="N52" s="48">
        <f>COUNTIFS(上课记录!$B:$B,A52,上课记录!$J:$J,"是")</f>
        <v/>
      </c>
      <c r="O52" s="31">
        <f>IF(F52="次卡",MAX(0,M52-N52),"—")</f>
        <v/>
      </c>
      <c r="P52" s="31">
        <f>IF(F52="期限卡",MAX(0,I52-TODAY()),"—")</f>
        <v/>
      </c>
      <c r="Q52" s="31">
        <f>IF(A52="","",IF(F52="次卡",IF(OR(K52="",K52=0,M52=0),"",K52/M52),IF(F52="期限卡",IF(AND(K52&lt;&gt;"",K52&lt;&gt;0,I52&gt;H52),K52/(I52-H52),""),"")))</f>
        <v/>
      </c>
      <c r="R52" s="31">
        <f>IF(A52="","",IF(F52="次卡",IF(OR(K52="",K52=0,M52=0),"",Q52*O52),IF(F52="期限卡",IF(AND(K52&lt;&gt;"",K52&lt;&gt;0,I52&gt;H52),Q52*P52,""),"")))</f>
        <v/>
      </c>
      <c r="S52" s="57">
        <f>IF(A52="","",IF(COUNTIFS(上课记录!$B:$B,A52,上课记录!$J:$J,"是")&gt;0,_xlfn.MAXIFS(上课记录!$D:$D,上课记录!$B:$B,A52,上课记录!$J:$J,"是"),IF(H52&gt;0,H52,"未上课")))</f>
        <v/>
      </c>
      <c r="T52" s="31">
        <f>IF(A52="",0,IF(S52="未上课",0,IF(S52="",0,TODAY()-S52)))</f>
        <v/>
      </c>
      <c r="U52" s="31">
        <f>IF(OR(AND(F52="次卡",O52=0),AND(F52="期限卡",P52=0)),"已到期",IF(T52&gt;=10,"沉睡客户",IF(T52&gt;=7,"预警客户",IF(T52=0,IF(A52="","待更新","正常"),"正常"))))</f>
        <v/>
      </c>
      <c r="V52" s="11" t="n"/>
      <c r="W52" s="11" t="n"/>
    </row>
    <row r="53">
      <c r="A53" s="44" t="n"/>
      <c r="B53" s="11" t="n"/>
      <c r="C53" s="11" t="n"/>
      <c r="D53" s="11" t="n"/>
      <c r="E53" s="11" t="n"/>
      <c r="F53" s="11" t="n"/>
      <c r="G53" s="55" t="n"/>
      <c r="H53" s="55" t="n"/>
      <c r="I53" s="55" t="n"/>
      <c r="J53" s="56" t="n"/>
      <c r="K53" s="56" t="n"/>
      <c r="L53" s="46">
        <f>K53-J53</f>
        <v/>
      </c>
      <c r="M53" s="47" t="n"/>
      <c r="N53" s="48">
        <f>COUNTIFS(上课记录!$B:$B,A53,上课记录!$J:$J,"是")</f>
        <v/>
      </c>
      <c r="O53" s="31">
        <f>IF(F53="次卡",MAX(0,M53-N53),"—")</f>
        <v/>
      </c>
      <c r="P53" s="31">
        <f>IF(F53="期限卡",MAX(0,I53-TODAY()),"—")</f>
        <v/>
      </c>
      <c r="Q53" s="31">
        <f>IF(A53="","",IF(F53="次卡",IF(OR(K53="",K53=0,M53=0),"",K53/M53),IF(F53="期限卡",IF(AND(K53&lt;&gt;"",K53&lt;&gt;0,I53&gt;H53),K53/(I53-H53),""),"")))</f>
        <v/>
      </c>
      <c r="R53" s="31">
        <f>IF(A53="","",IF(F53="次卡",IF(OR(K53="",K53=0,M53=0),"",Q53*O53),IF(F53="期限卡",IF(AND(K53&lt;&gt;"",K53&lt;&gt;0,I53&gt;H53),Q53*P53,""),"")))</f>
        <v/>
      </c>
      <c r="S53" s="57">
        <f>IF(A53="","",IF(COUNTIFS(上课记录!$B:$B,A53,上课记录!$J:$J,"是")&gt;0,_xlfn.MAXIFS(上课记录!$D:$D,上课记录!$B:$B,A53,上课记录!$J:$J,"是"),IF(H53&gt;0,H53,"未上课")))</f>
        <v/>
      </c>
      <c r="T53" s="31">
        <f>IF(A53="",0,IF(S53="未上课",0,IF(S53="",0,TODAY()-S53)))</f>
        <v/>
      </c>
      <c r="U53" s="31">
        <f>IF(OR(AND(F53="次卡",O53=0),AND(F53="期限卡",P53=0)),"已到期",IF(T53&gt;=10,"沉睡客户",IF(T53&gt;=7,"预警客户",IF(T53=0,IF(A53="","待更新","正常"),"正常"))))</f>
        <v/>
      </c>
      <c r="V53" s="11" t="n"/>
      <c r="W53" s="11" t="n"/>
    </row>
    <row r="54">
      <c r="A54" s="44" t="n"/>
      <c r="B54" s="11" t="n"/>
      <c r="C54" s="11" t="n"/>
      <c r="D54" s="11" t="n"/>
      <c r="E54" s="11" t="n"/>
      <c r="F54" s="11" t="n"/>
      <c r="G54" s="55" t="n"/>
      <c r="H54" s="55" t="n"/>
      <c r="I54" s="55" t="n"/>
      <c r="J54" s="56" t="n"/>
      <c r="K54" s="56" t="n"/>
      <c r="L54" s="46">
        <f>K54-J54</f>
        <v/>
      </c>
      <c r="M54" s="47" t="n"/>
      <c r="N54" s="48">
        <f>COUNTIFS(上课记录!$B:$B,A54,上课记录!$J:$J,"是")</f>
        <v/>
      </c>
      <c r="O54" s="31">
        <f>IF(F54="次卡",MAX(0,M54-N54),"—")</f>
        <v/>
      </c>
      <c r="P54" s="31">
        <f>IF(F54="期限卡",MAX(0,I54-TODAY()),"—")</f>
        <v/>
      </c>
      <c r="Q54" s="31">
        <f>IF(A54="","",IF(F54="次卡",IF(OR(K54="",K54=0,M54=0),"",K54/M54),IF(F54="期限卡",IF(AND(K54&lt;&gt;"",K54&lt;&gt;0,I54&gt;H54),K54/(I54-H54),""),"")))</f>
        <v/>
      </c>
      <c r="R54" s="31">
        <f>IF(A54="","",IF(F54="次卡",IF(OR(K54="",K54=0,M54=0),"",Q54*O54),IF(F54="期限卡",IF(AND(K54&lt;&gt;"",K54&lt;&gt;0,I54&gt;H54),Q54*P54,""),"")))</f>
        <v/>
      </c>
      <c r="S54" s="57">
        <f>IF(A54="","",IF(COUNTIFS(上课记录!$B:$B,A54,上课记录!$J:$J,"是")&gt;0,_xlfn.MAXIFS(上课记录!$D:$D,上课记录!$B:$B,A54,上课记录!$J:$J,"是"),IF(H54&gt;0,H54,"未上课")))</f>
        <v/>
      </c>
      <c r="T54" s="31">
        <f>IF(A54="",0,IF(S54="未上课",0,IF(S54="",0,TODAY()-S54)))</f>
        <v/>
      </c>
      <c r="U54" s="31">
        <f>IF(OR(AND(F54="次卡",O54=0),AND(F54="期限卡",P54=0)),"已到期",IF(T54&gt;=10,"沉睡客户",IF(T54&gt;=7,"预警客户",IF(T54=0,IF(A54="","待更新","正常"),"正常"))))</f>
        <v/>
      </c>
      <c r="V54" s="11" t="n"/>
      <c r="W54" s="11" t="n"/>
    </row>
    <row r="55">
      <c r="A55" s="44" t="n"/>
      <c r="B55" s="11" t="n"/>
      <c r="C55" s="11" t="n"/>
      <c r="D55" s="11" t="n"/>
      <c r="E55" s="11" t="n"/>
      <c r="F55" s="11" t="n"/>
      <c r="G55" s="55" t="n"/>
      <c r="H55" s="55" t="n"/>
      <c r="I55" s="55" t="n"/>
      <c r="J55" s="56" t="n"/>
      <c r="K55" s="56" t="n"/>
      <c r="L55" s="46">
        <f>K55-J55</f>
        <v/>
      </c>
      <c r="M55" s="47" t="n"/>
      <c r="N55" s="48">
        <f>COUNTIFS(上课记录!$B:$B,A55,上课记录!$J:$J,"是")</f>
        <v/>
      </c>
      <c r="O55" s="31">
        <f>IF(F55="次卡",MAX(0,M55-N55),"—")</f>
        <v/>
      </c>
      <c r="P55" s="31">
        <f>IF(F55="期限卡",MAX(0,I55-TODAY()),"—")</f>
        <v/>
      </c>
      <c r="Q55" s="31">
        <f>IF(A55="","",IF(F55="次卡",IF(OR(K55="",K55=0,M55=0),"",K55/M55),IF(F55="期限卡",IF(AND(K55&lt;&gt;"",K55&lt;&gt;0,I55&gt;H55),K55/(I55-H55),""),"")))</f>
        <v/>
      </c>
      <c r="R55" s="31">
        <f>IF(A55="","",IF(F55="次卡",IF(OR(K55="",K55=0,M55=0),"",Q55*O55),IF(F55="期限卡",IF(AND(K55&lt;&gt;"",K55&lt;&gt;0,I55&gt;H55),Q55*P55,""),"")))</f>
        <v/>
      </c>
      <c r="S55" s="57">
        <f>IF(A55="","",IF(COUNTIFS(上课记录!$B:$B,A55,上课记录!$J:$J,"是")&gt;0,_xlfn.MAXIFS(上课记录!$D:$D,上课记录!$B:$B,A55,上课记录!$J:$J,"是"),IF(H55&gt;0,H55,"未上课")))</f>
        <v/>
      </c>
      <c r="T55" s="31">
        <f>IF(A55="",0,IF(S55="未上课",0,IF(S55="",0,TODAY()-S55)))</f>
        <v/>
      </c>
      <c r="U55" s="31">
        <f>IF(OR(AND(F55="次卡",O55=0),AND(F55="期限卡",P55=0)),"已到期",IF(T55&gt;=10,"沉睡客户",IF(T55&gt;=7,"预警客户",IF(T55=0,IF(A55="","待更新","正常"),"正常"))))</f>
        <v/>
      </c>
      <c r="V55" s="11" t="n"/>
      <c r="W55" s="11" t="n"/>
    </row>
    <row r="56">
      <c r="A56" s="44" t="n"/>
      <c r="B56" s="11" t="n"/>
      <c r="C56" s="11" t="n"/>
      <c r="D56" s="11" t="n"/>
      <c r="E56" s="11" t="n"/>
      <c r="F56" s="11" t="n"/>
      <c r="G56" s="55" t="n"/>
      <c r="H56" s="55" t="n"/>
      <c r="I56" s="55" t="n"/>
      <c r="J56" s="56" t="n"/>
      <c r="K56" s="56" t="n"/>
      <c r="L56" s="46">
        <f>K56-J56</f>
        <v/>
      </c>
      <c r="M56" s="47" t="n"/>
      <c r="N56" s="48">
        <f>COUNTIFS(上课记录!$B:$B,A56,上课记录!$J:$J,"是")</f>
        <v/>
      </c>
      <c r="O56" s="31">
        <f>IF(F56="次卡",MAX(0,M56-N56),"—")</f>
        <v/>
      </c>
      <c r="P56" s="31">
        <f>IF(F56="期限卡",MAX(0,I56-TODAY()),"—")</f>
        <v/>
      </c>
      <c r="Q56" s="31">
        <f>IF(A56="","",IF(F56="次卡",IF(OR(K56="",K56=0,M56=0),"",K56/M56),IF(F56="期限卡",IF(AND(K56&lt;&gt;"",K56&lt;&gt;0,I56&gt;H56),K56/(I56-H56),""),"")))</f>
        <v/>
      </c>
      <c r="R56" s="31">
        <f>IF(A56="","",IF(F56="次卡",IF(OR(K56="",K56=0,M56=0),"",Q56*O56),IF(F56="期限卡",IF(AND(K56&lt;&gt;"",K56&lt;&gt;0,I56&gt;H56),Q56*P56,""),"")))</f>
        <v/>
      </c>
      <c r="S56" s="57">
        <f>IF(A56="","",IF(COUNTIFS(上课记录!$B:$B,A56,上课记录!$J:$J,"是")&gt;0,_xlfn.MAXIFS(上课记录!$D:$D,上课记录!$B:$B,A56,上课记录!$J:$J,"是"),IF(H56&gt;0,H56,"未上课")))</f>
        <v/>
      </c>
      <c r="T56" s="31">
        <f>IF(A56="",0,IF(S56="未上课",0,IF(S56="",0,TODAY()-S56)))</f>
        <v/>
      </c>
      <c r="U56" s="31">
        <f>IF(OR(AND(F56="次卡",O56=0),AND(F56="期限卡",P56=0)),"已到期",IF(T56&gt;=10,"沉睡客户",IF(T56&gt;=7,"预警客户",IF(T56=0,IF(A56="","待更新","正常"),"正常"))))</f>
        <v/>
      </c>
      <c r="V56" s="11" t="n"/>
      <c r="W56" s="11" t="n"/>
    </row>
    <row r="57">
      <c r="A57" s="44" t="n"/>
      <c r="B57" s="11" t="n"/>
      <c r="C57" s="11" t="n"/>
      <c r="D57" s="11" t="n"/>
      <c r="E57" s="11" t="n"/>
      <c r="F57" s="11" t="n"/>
      <c r="G57" s="55" t="n"/>
      <c r="H57" s="55" t="n"/>
      <c r="I57" s="55" t="n"/>
      <c r="J57" s="56" t="n"/>
      <c r="K57" s="56" t="n"/>
      <c r="L57" s="46">
        <f>K57-J57</f>
        <v/>
      </c>
      <c r="M57" s="47" t="n"/>
      <c r="N57" s="48">
        <f>COUNTIFS(上课记录!$B:$B,A57,上课记录!$J:$J,"是")</f>
        <v/>
      </c>
      <c r="O57" s="31">
        <f>IF(F57="次卡",MAX(0,M57-N57),"—")</f>
        <v/>
      </c>
      <c r="P57" s="31">
        <f>IF(F57="期限卡",MAX(0,I57-TODAY()),"—")</f>
        <v/>
      </c>
      <c r="Q57" s="31">
        <f>IF(A57="","",IF(F57="次卡",IF(OR(K57="",K57=0,M57=0),"",K57/M57),IF(F57="期限卡",IF(AND(K57&lt;&gt;"",K57&lt;&gt;0,I57&gt;H57),K57/(I57-H57),""),"")))</f>
        <v/>
      </c>
      <c r="R57" s="31">
        <f>IF(A57="","",IF(F57="次卡",IF(OR(K57="",K57=0,M57=0),"",Q57*O57),IF(F57="期限卡",IF(AND(K57&lt;&gt;"",K57&lt;&gt;0,I57&gt;H57),Q57*P57,""),"")))</f>
        <v/>
      </c>
      <c r="S57" s="57">
        <f>IF(A57="","",IF(COUNTIFS(上课记录!$B:$B,A57,上课记录!$J:$J,"是")&gt;0,_xlfn.MAXIFS(上课记录!$D:$D,上课记录!$B:$B,A57,上课记录!$J:$J,"是"),IF(H57&gt;0,H57,"未上课")))</f>
        <v/>
      </c>
      <c r="T57" s="31">
        <f>IF(A57="",0,IF(S57="未上课",0,IF(S57="",0,TODAY()-S57)))</f>
        <v/>
      </c>
      <c r="U57" s="31">
        <f>IF(OR(AND(F57="次卡",O57=0),AND(F57="期限卡",P57=0)),"已到期",IF(T57&gt;=10,"沉睡客户",IF(T57&gt;=7,"预警客户",IF(T57=0,IF(A57="","待更新","正常"),"正常"))))</f>
        <v/>
      </c>
      <c r="V57" s="11" t="n"/>
      <c r="W57" s="11" t="n"/>
    </row>
    <row r="58">
      <c r="A58" s="44" t="n"/>
      <c r="B58" s="11" t="n"/>
      <c r="C58" s="11" t="n"/>
      <c r="D58" s="11" t="n"/>
      <c r="E58" s="11" t="n"/>
      <c r="F58" s="11" t="n"/>
      <c r="G58" s="55" t="n"/>
      <c r="H58" s="55" t="n"/>
      <c r="I58" s="55" t="n"/>
      <c r="J58" s="56" t="n"/>
      <c r="K58" s="56" t="n"/>
      <c r="L58" s="46">
        <f>K58-J58</f>
        <v/>
      </c>
      <c r="M58" s="47" t="n"/>
      <c r="N58" s="48">
        <f>COUNTIFS(上课记录!$B:$B,A58,上课记录!$J:$J,"是")</f>
        <v/>
      </c>
      <c r="O58" s="31">
        <f>IF(F58="次卡",MAX(0,M58-N58),"—")</f>
        <v/>
      </c>
      <c r="P58" s="31">
        <f>IF(F58="期限卡",MAX(0,I58-TODAY()),"—")</f>
        <v/>
      </c>
      <c r="Q58" s="31">
        <f>IF(A58="","",IF(F58="次卡",IF(OR(K58="",K58=0,M58=0),"",K58/M58),IF(F58="期限卡",IF(AND(K58&lt;&gt;"",K58&lt;&gt;0,I58&gt;H58),K58/(I58-H58),""),"")))</f>
        <v/>
      </c>
      <c r="R58" s="31">
        <f>IF(A58="","",IF(F58="次卡",IF(OR(K58="",K58=0,M58=0),"",Q58*O58),IF(F58="期限卡",IF(AND(K58&lt;&gt;"",K58&lt;&gt;0,I58&gt;H58),Q58*P58,""),"")))</f>
        <v/>
      </c>
      <c r="S58" s="57">
        <f>IF(A58="","",IF(COUNTIFS(上课记录!$B:$B,A58,上课记录!$J:$J,"是")&gt;0,_xlfn.MAXIFS(上课记录!$D:$D,上课记录!$B:$B,A58,上课记录!$J:$J,"是"),IF(H58&gt;0,H58,"未上课")))</f>
        <v/>
      </c>
      <c r="T58" s="31">
        <f>IF(A58="",0,IF(S58="未上课",0,IF(S58="",0,TODAY()-S58)))</f>
        <v/>
      </c>
      <c r="U58" s="31">
        <f>IF(OR(AND(F58="次卡",O58=0),AND(F58="期限卡",P58=0)),"已到期",IF(T58&gt;=10,"沉睡客户",IF(T58&gt;=7,"预警客户",IF(T58=0,IF(A58="","待更新","正常"),"正常"))))</f>
        <v/>
      </c>
      <c r="V58" s="11" t="n"/>
      <c r="W58" s="11" t="n"/>
    </row>
    <row r="59">
      <c r="A59" s="44" t="n"/>
      <c r="B59" s="11" t="n"/>
      <c r="C59" s="11" t="n"/>
      <c r="D59" s="11" t="n"/>
      <c r="E59" s="11" t="n"/>
      <c r="F59" s="11" t="n"/>
      <c r="G59" s="55" t="n"/>
      <c r="H59" s="55" t="n"/>
      <c r="I59" s="55" t="n"/>
      <c r="J59" s="56" t="n"/>
      <c r="K59" s="56" t="n"/>
      <c r="L59" s="46">
        <f>K59-J59</f>
        <v/>
      </c>
      <c r="M59" s="47" t="n"/>
      <c r="N59" s="48">
        <f>COUNTIFS(上课记录!$B:$B,A59,上课记录!$J:$J,"是")</f>
        <v/>
      </c>
      <c r="O59" s="31">
        <f>IF(F59="次卡",MAX(0,M59-N59),"—")</f>
        <v/>
      </c>
      <c r="P59" s="31">
        <f>IF(F59="期限卡",MAX(0,I59-TODAY()),"—")</f>
        <v/>
      </c>
      <c r="Q59" s="31">
        <f>IF(A59="","",IF(F59="次卡",IF(OR(K59="",K59=0,M59=0),"",K59/M59),IF(F59="期限卡",IF(AND(K59&lt;&gt;"",K59&lt;&gt;0,I59&gt;H59),K59/(I59-H59),""),"")))</f>
        <v/>
      </c>
      <c r="R59" s="31">
        <f>IF(A59="","",IF(F59="次卡",IF(OR(K59="",K59=0,M59=0),"",Q59*O59),IF(F59="期限卡",IF(AND(K59&lt;&gt;"",K59&lt;&gt;0,I59&gt;H59),Q59*P59,""),"")))</f>
        <v/>
      </c>
      <c r="S59" s="57">
        <f>IF(A59="","",IF(COUNTIFS(上课记录!$B:$B,A59,上课记录!$J:$J,"是")&gt;0,_xlfn.MAXIFS(上课记录!$D:$D,上课记录!$B:$B,A59,上课记录!$J:$J,"是"),IF(H59&gt;0,H59,"未上课")))</f>
        <v/>
      </c>
      <c r="T59" s="31">
        <f>IF(A59="",0,IF(S59="未上课",0,IF(S59="",0,TODAY()-S59)))</f>
        <v/>
      </c>
      <c r="U59" s="31">
        <f>IF(OR(AND(F59="次卡",O59=0),AND(F59="期限卡",P59=0)),"已到期",IF(T59&gt;=10,"沉睡客户",IF(T59&gt;=7,"预警客户",IF(T59=0,IF(A59="","待更新","正常"),"正常"))))</f>
        <v/>
      </c>
      <c r="V59" s="11" t="n"/>
      <c r="W59" s="11" t="n"/>
    </row>
    <row r="60">
      <c r="A60" s="44" t="n"/>
      <c r="B60" s="11" t="n"/>
      <c r="C60" s="11" t="n"/>
      <c r="D60" s="11" t="n"/>
      <c r="E60" s="11" t="n"/>
      <c r="F60" s="11" t="n"/>
      <c r="G60" s="55" t="n"/>
      <c r="H60" s="55" t="n"/>
      <c r="I60" s="55" t="n"/>
      <c r="J60" s="56" t="n"/>
      <c r="K60" s="56" t="n"/>
      <c r="L60" s="46">
        <f>K60-J60</f>
        <v/>
      </c>
      <c r="M60" s="47" t="n"/>
      <c r="N60" s="48">
        <f>COUNTIFS(上课记录!$B:$B,A60,上课记录!$J:$J,"是")</f>
        <v/>
      </c>
      <c r="O60" s="31">
        <f>IF(F60="次卡",MAX(0,M60-N60),"—")</f>
        <v/>
      </c>
      <c r="P60" s="31">
        <f>IF(F60="期限卡",MAX(0,I60-TODAY()),"—")</f>
        <v/>
      </c>
      <c r="Q60" s="31">
        <f>IF(A60="","",IF(F60="次卡",IF(OR(K60="",K60=0,M60=0),"",K60/M60),IF(F60="期限卡",IF(AND(K60&lt;&gt;"",K60&lt;&gt;0,I60&gt;H60),K60/(I60-H60),""),"")))</f>
        <v/>
      </c>
      <c r="R60" s="31">
        <f>IF(A60="","",IF(F60="次卡",IF(OR(K60="",K60=0,M60=0),"",Q60*O60),IF(F60="期限卡",IF(AND(K60&lt;&gt;"",K60&lt;&gt;0,I60&gt;H60),Q60*P60,""),"")))</f>
        <v/>
      </c>
      <c r="S60" s="57">
        <f>IF(A60="","",IF(COUNTIFS(上课记录!$B:$B,A60,上课记录!$J:$J,"是")&gt;0,_xlfn.MAXIFS(上课记录!$D:$D,上课记录!$B:$B,A60,上课记录!$J:$J,"是"),IF(H60&gt;0,H60,"未上课")))</f>
        <v/>
      </c>
      <c r="T60" s="31">
        <f>IF(A60="",0,IF(S60="未上课",0,IF(S60="",0,TODAY()-S60)))</f>
        <v/>
      </c>
      <c r="U60" s="31">
        <f>IF(OR(AND(F60="次卡",O60=0),AND(F60="期限卡",P60=0)),"已到期",IF(T60&gt;=10,"沉睡客户",IF(T60&gt;=7,"预警客户",IF(T60=0,IF(A60="","待更新","正常"),"正常"))))</f>
        <v/>
      </c>
      <c r="V60" s="11" t="n"/>
      <c r="W60" s="11" t="n"/>
    </row>
    <row r="61">
      <c r="A61" s="44" t="n"/>
      <c r="B61" s="11" t="n"/>
      <c r="C61" s="11" t="n"/>
      <c r="D61" s="11" t="n"/>
      <c r="E61" s="11" t="n"/>
      <c r="F61" s="11" t="n"/>
      <c r="G61" s="55" t="n"/>
      <c r="H61" s="55" t="n"/>
      <c r="I61" s="55" t="n"/>
      <c r="J61" s="56" t="n"/>
      <c r="K61" s="56" t="n"/>
      <c r="L61" s="46">
        <f>K61-J61</f>
        <v/>
      </c>
      <c r="M61" s="47" t="n"/>
      <c r="N61" s="48">
        <f>COUNTIFS(上课记录!$B:$B,A61,上课记录!$J:$J,"是")</f>
        <v/>
      </c>
      <c r="O61" s="31">
        <f>IF(F61="次卡",MAX(0,M61-N61),"—")</f>
        <v/>
      </c>
      <c r="P61" s="31">
        <f>IF(F61="期限卡",MAX(0,I61-TODAY()),"—")</f>
        <v/>
      </c>
      <c r="Q61" s="31">
        <f>IF(A61="","",IF(F61="次卡",IF(OR(K61="",K61=0,M61=0),"",K61/M61),IF(F61="期限卡",IF(AND(K61&lt;&gt;"",K61&lt;&gt;0,I61&gt;H61),K61/(I61-H61),""),"")))</f>
        <v/>
      </c>
      <c r="R61" s="31">
        <f>IF(A61="","",IF(F61="次卡",IF(OR(K61="",K61=0,M61=0),"",Q61*O61),IF(F61="期限卡",IF(AND(K61&lt;&gt;"",K61&lt;&gt;0,I61&gt;H61),Q61*P61,""),"")))</f>
        <v/>
      </c>
      <c r="S61" s="57">
        <f>IF(A61="","",IF(COUNTIFS(上课记录!$B:$B,A61,上课记录!$J:$J,"是")&gt;0,_xlfn.MAXIFS(上课记录!$D:$D,上课记录!$B:$B,A61,上课记录!$J:$J,"是"),IF(H61&gt;0,H61,"未上课")))</f>
        <v/>
      </c>
      <c r="T61" s="31">
        <f>IF(A61="",0,IF(S61="未上课",0,IF(S61="",0,TODAY()-S61)))</f>
        <v/>
      </c>
      <c r="U61" s="31">
        <f>IF(OR(AND(F61="次卡",O61=0),AND(F61="期限卡",P61=0)),"已到期",IF(T61&gt;=10,"沉睡客户",IF(T61&gt;=7,"预警客户",IF(T61=0,IF(A61="","待更新","正常"),"正常"))))</f>
        <v/>
      </c>
      <c r="V61" s="11" t="n"/>
      <c r="W61" s="11" t="n"/>
    </row>
    <row r="62">
      <c r="A62" s="44" t="n"/>
      <c r="B62" s="11" t="n"/>
      <c r="C62" s="11" t="n"/>
      <c r="D62" s="11" t="n"/>
      <c r="E62" s="11" t="n"/>
      <c r="F62" s="11" t="n"/>
      <c r="G62" s="55" t="n"/>
      <c r="H62" s="55" t="n"/>
      <c r="I62" s="55" t="n"/>
      <c r="J62" s="56" t="n"/>
      <c r="K62" s="56" t="n"/>
      <c r="L62" s="46">
        <f>K62-J62</f>
        <v/>
      </c>
      <c r="M62" s="47" t="n"/>
      <c r="N62" s="48">
        <f>COUNTIFS(上课记录!$B:$B,A62,上课记录!$J:$J,"是")</f>
        <v/>
      </c>
      <c r="O62" s="31">
        <f>IF(F62="次卡",MAX(0,M62-N62),"—")</f>
        <v/>
      </c>
      <c r="P62" s="31">
        <f>IF(F62="期限卡",MAX(0,I62-TODAY()),"—")</f>
        <v/>
      </c>
      <c r="Q62" s="31">
        <f>IF(A62="","",IF(F62="次卡",IF(OR(K62="",K62=0,M62=0),"",K62/M62),IF(F62="期限卡",IF(AND(K62&lt;&gt;"",K62&lt;&gt;0,I62&gt;H62),K62/(I62-H62),""),"")))</f>
        <v/>
      </c>
      <c r="R62" s="31">
        <f>IF(A62="","",IF(F62="次卡",IF(OR(K62="",K62=0,M62=0),"",Q62*O62),IF(F62="期限卡",IF(AND(K62&lt;&gt;"",K62&lt;&gt;0,I62&gt;H62),Q62*P62,""),"")))</f>
        <v/>
      </c>
      <c r="S62" s="57">
        <f>IF(A62="","",IF(COUNTIFS(上课记录!$B:$B,A62,上课记录!$J:$J,"是")&gt;0,_xlfn.MAXIFS(上课记录!$D:$D,上课记录!$B:$B,A62,上课记录!$J:$J,"是"),IF(H62&gt;0,H62,"未上课")))</f>
        <v/>
      </c>
      <c r="T62" s="31">
        <f>IF(A62="",0,IF(S62="未上课",0,IF(S62="",0,TODAY()-S62)))</f>
        <v/>
      </c>
      <c r="U62" s="31">
        <f>IF(OR(AND(F62="次卡",O62=0),AND(F62="期限卡",P62=0)),"已到期",IF(T62&gt;=10,"沉睡客户",IF(T62&gt;=7,"预警客户",IF(T62=0,IF(A62="","待更新","正常"),"正常"))))</f>
        <v/>
      </c>
      <c r="V62" s="11" t="n"/>
      <c r="W62" s="11" t="n"/>
    </row>
    <row r="63">
      <c r="A63" s="44" t="n"/>
      <c r="B63" s="11" t="n"/>
      <c r="C63" s="11" t="n"/>
      <c r="D63" s="11" t="n"/>
      <c r="E63" s="11" t="n"/>
      <c r="F63" s="11" t="n"/>
      <c r="G63" s="55" t="n"/>
      <c r="H63" s="55" t="n"/>
      <c r="I63" s="55" t="n"/>
      <c r="J63" s="56" t="n"/>
      <c r="K63" s="56" t="n"/>
      <c r="L63" s="46">
        <f>K63-J63</f>
        <v/>
      </c>
      <c r="M63" s="47" t="n"/>
      <c r="N63" s="48">
        <f>COUNTIFS(上课记录!$B:$B,A63,上课记录!$J:$J,"是")</f>
        <v/>
      </c>
      <c r="O63" s="31">
        <f>IF(F63="次卡",MAX(0,M63-N63),"—")</f>
        <v/>
      </c>
      <c r="P63" s="31">
        <f>IF(F63="期限卡",MAX(0,I63-TODAY()),"—")</f>
        <v/>
      </c>
      <c r="Q63" s="31">
        <f>IF(A63="","",IF(F63="次卡",IF(OR(K63="",K63=0,M63=0),"",K63/M63),IF(F63="期限卡",IF(AND(K63&lt;&gt;"",K63&lt;&gt;0,I63&gt;H63),K63/(I63-H63),""),"")))</f>
        <v/>
      </c>
      <c r="R63" s="31">
        <f>IF(A63="","",IF(F63="次卡",IF(OR(K63="",K63=0,M63=0),"",Q63*O63),IF(F63="期限卡",IF(AND(K63&lt;&gt;"",K63&lt;&gt;0,I63&gt;H63),Q63*P63,""),"")))</f>
        <v/>
      </c>
      <c r="S63" s="57">
        <f>IF(A63="","",IF(COUNTIFS(上课记录!$B:$B,A63,上课记录!$J:$J,"是")&gt;0,_xlfn.MAXIFS(上课记录!$D:$D,上课记录!$B:$B,A63,上课记录!$J:$J,"是"),IF(H63&gt;0,H63,"未上课")))</f>
        <v/>
      </c>
      <c r="T63" s="31">
        <f>IF(A63="",0,IF(S63="未上课",0,IF(S63="",0,TODAY()-S63)))</f>
        <v/>
      </c>
      <c r="U63" s="31">
        <f>IF(OR(AND(F63="次卡",O63=0),AND(F63="期限卡",P63=0)),"已到期",IF(T63&gt;=10,"沉睡客户",IF(T63&gt;=7,"预警客户",IF(T63=0,IF(A63="","待更新","正常"),"正常"))))</f>
        <v/>
      </c>
      <c r="V63" s="11" t="n"/>
      <c r="W63" s="11" t="n"/>
    </row>
    <row r="64">
      <c r="A64" s="44" t="n"/>
      <c r="B64" s="11" t="n"/>
      <c r="C64" s="11" t="n"/>
      <c r="D64" s="11" t="n"/>
      <c r="E64" s="11" t="n"/>
      <c r="F64" s="11" t="n"/>
      <c r="G64" s="55" t="n"/>
      <c r="H64" s="55" t="n"/>
      <c r="I64" s="55" t="n"/>
      <c r="J64" s="56" t="n"/>
      <c r="K64" s="56" t="n"/>
      <c r="L64" s="46">
        <f>K64-J64</f>
        <v/>
      </c>
      <c r="M64" s="47" t="n"/>
      <c r="N64" s="48">
        <f>COUNTIFS(上课记录!$B:$B,A64,上课记录!$J:$J,"是")</f>
        <v/>
      </c>
      <c r="O64" s="31">
        <f>IF(F64="次卡",MAX(0,M64-N64),"—")</f>
        <v/>
      </c>
      <c r="P64" s="31">
        <f>IF(F64="期限卡",MAX(0,I64-TODAY()),"—")</f>
        <v/>
      </c>
      <c r="Q64" s="31">
        <f>IF(A64="","",IF(F64="次卡",IF(OR(K64="",K64=0,M64=0),"",K64/M64),IF(F64="期限卡",IF(AND(K64&lt;&gt;"",K64&lt;&gt;0,I64&gt;H64),K64/(I64-H64),""),"")))</f>
        <v/>
      </c>
      <c r="R64" s="31">
        <f>IF(A64="","",IF(F64="次卡",IF(OR(K64="",K64=0,M64=0),"",Q64*O64),IF(F64="期限卡",IF(AND(K64&lt;&gt;"",K64&lt;&gt;0,I64&gt;H64),Q64*P64,""),"")))</f>
        <v/>
      </c>
      <c r="S64" s="57">
        <f>IF(A64="","",IF(COUNTIFS(上课记录!$B:$B,A64,上课记录!$J:$J,"是")&gt;0,_xlfn.MAXIFS(上课记录!$D:$D,上课记录!$B:$B,A64,上课记录!$J:$J,"是"),IF(H64&gt;0,H64,"未上课")))</f>
        <v/>
      </c>
      <c r="T64" s="31">
        <f>IF(A64="",0,IF(S64="未上课",0,IF(S64="",0,TODAY()-S64)))</f>
        <v/>
      </c>
      <c r="U64" s="31">
        <f>IF(OR(AND(F64="次卡",O64=0),AND(F64="期限卡",P64=0)),"已到期",IF(T64&gt;=10,"沉睡客户",IF(T64&gt;=7,"预警客户",IF(T64=0,IF(A64="","待更新","正常"),"正常"))))</f>
        <v/>
      </c>
      <c r="V64" s="11" t="n"/>
      <c r="W64" s="11" t="n"/>
    </row>
    <row r="65">
      <c r="A65" s="44" t="n"/>
      <c r="B65" s="11" t="n"/>
      <c r="C65" s="11" t="n"/>
      <c r="D65" s="11" t="n"/>
      <c r="E65" s="11" t="n"/>
      <c r="F65" s="11" t="n"/>
      <c r="G65" s="55" t="n"/>
      <c r="H65" s="55" t="n"/>
      <c r="I65" s="55" t="n"/>
      <c r="J65" s="56" t="n"/>
      <c r="K65" s="56" t="n"/>
      <c r="L65" s="46">
        <f>K65-J65</f>
        <v/>
      </c>
      <c r="M65" s="47" t="n"/>
      <c r="N65" s="48">
        <f>COUNTIFS(上课记录!$B:$B,A65,上课记录!$J:$J,"是")</f>
        <v/>
      </c>
      <c r="O65" s="31">
        <f>IF(F65="次卡",MAX(0,M65-N65),"—")</f>
        <v/>
      </c>
      <c r="P65" s="31">
        <f>IF(F65="期限卡",MAX(0,I65-TODAY()),"—")</f>
        <v/>
      </c>
      <c r="Q65" s="31">
        <f>IF(A65="","",IF(F65="次卡",IF(OR(K65="",K65=0,M65=0),"",K65/M65),IF(F65="期限卡",IF(AND(K65&lt;&gt;"",K65&lt;&gt;0,I65&gt;H65),K65/(I65-H65),""),"")))</f>
        <v/>
      </c>
      <c r="R65" s="31">
        <f>IF(A65="","",IF(F65="次卡",IF(OR(K65="",K65=0,M65=0),"",Q65*O65),IF(F65="期限卡",IF(AND(K65&lt;&gt;"",K65&lt;&gt;0,I65&gt;H65),Q65*P65,""),"")))</f>
        <v/>
      </c>
      <c r="S65" s="57">
        <f>IF(A65="","",IF(COUNTIFS(上课记录!$B:$B,A65,上课记录!$J:$J,"是")&gt;0,_xlfn.MAXIFS(上课记录!$D:$D,上课记录!$B:$B,A65,上课记录!$J:$J,"是"),IF(H65&gt;0,H65,"未上课")))</f>
        <v/>
      </c>
      <c r="T65" s="31">
        <f>IF(A65="",0,IF(S65="未上课",0,IF(S65="",0,TODAY()-S65)))</f>
        <v/>
      </c>
      <c r="U65" s="31">
        <f>IF(OR(AND(F65="次卡",O65=0),AND(F65="期限卡",P65=0)),"已到期",IF(T65&gt;=10,"沉睡客户",IF(T65&gt;=7,"预警客户",IF(T65=0,IF(A65="","待更新","正常"),"正常"))))</f>
        <v/>
      </c>
      <c r="V65" s="11" t="n"/>
      <c r="W65" s="11" t="n"/>
    </row>
    <row r="66">
      <c r="A66" s="44" t="n"/>
      <c r="B66" s="11" t="n"/>
      <c r="C66" s="11" t="n"/>
      <c r="D66" s="11" t="n"/>
      <c r="E66" s="11" t="n"/>
      <c r="F66" s="11" t="n"/>
      <c r="G66" s="55" t="n"/>
      <c r="H66" s="55" t="n"/>
      <c r="I66" s="55" t="n"/>
      <c r="J66" s="56" t="n"/>
      <c r="K66" s="56" t="n"/>
      <c r="L66" s="46">
        <f>K66-J66</f>
        <v/>
      </c>
      <c r="M66" s="47" t="n"/>
      <c r="N66" s="48">
        <f>COUNTIFS(上课记录!$B:$B,A66,上课记录!$J:$J,"是")</f>
        <v/>
      </c>
      <c r="O66" s="31">
        <f>IF(F66="次卡",MAX(0,M66-N66),"—")</f>
        <v/>
      </c>
      <c r="P66" s="31">
        <f>IF(F66="期限卡",MAX(0,I66-TODAY()),"—")</f>
        <v/>
      </c>
      <c r="Q66" s="31">
        <f>IF(A66="","",IF(F66="次卡",IF(OR(K66="",K66=0,M66=0),"",K66/M66),IF(F66="期限卡",IF(AND(K66&lt;&gt;"",K66&lt;&gt;0,I66&gt;H66),K66/(I66-H66),""),"")))</f>
        <v/>
      </c>
      <c r="R66" s="31">
        <f>IF(A66="","",IF(F66="次卡",IF(OR(K66="",K66=0,M66=0),"",Q66*O66),IF(F66="期限卡",IF(AND(K66&lt;&gt;"",K66&lt;&gt;0,I66&gt;H66),Q66*P66,""),"")))</f>
        <v/>
      </c>
      <c r="S66" s="57">
        <f>IF(A66="","",IF(COUNTIFS(上课记录!$B:$B,A66,上课记录!$J:$J,"是")&gt;0,_xlfn.MAXIFS(上课记录!$D:$D,上课记录!$B:$B,A66,上课记录!$J:$J,"是"),IF(H66&gt;0,H66,"未上课")))</f>
        <v/>
      </c>
      <c r="T66" s="31">
        <f>IF(A66="",0,IF(S66="未上课",0,IF(S66="",0,TODAY()-S66)))</f>
        <v/>
      </c>
      <c r="U66" s="31">
        <f>IF(OR(AND(F66="次卡",O66=0),AND(F66="期限卡",P66=0)),"已到期",IF(T66&gt;=10,"沉睡客户",IF(T66&gt;=7,"预警客户",IF(T66=0,IF(A66="","待更新","正常"),"正常"))))</f>
        <v/>
      </c>
      <c r="V66" s="11" t="n"/>
      <c r="W66" s="11" t="n"/>
    </row>
    <row r="67">
      <c r="A67" s="44" t="n"/>
      <c r="B67" s="11" t="n"/>
      <c r="C67" s="11" t="n"/>
      <c r="D67" s="11" t="n"/>
      <c r="E67" s="11" t="n"/>
      <c r="F67" s="11" t="n"/>
      <c r="G67" s="55" t="n"/>
      <c r="H67" s="55" t="n"/>
      <c r="I67" s="55" t="n"/>
      <c r="J67" s="56" t="n"/>
      <c r="K67" s="56" t="n"/>
      <c r="L67" s="46">
        <f>K67-J67</f>
        <v/>
      </c>
      <c r="M67" s="47" t="n"/>
      <c r="N67" s="48">
        <f>COUNTIFS(上课记录!$B:$B,A67,上课记录!$J:$J,"是")</f>
        <v/>
      </c>
      <c r="O67" s="31">
        <f>IF(F67="次卡",MAX(0,M67-N67),"—")</f>
        <v/>
      </c>
      <c r="P67" s="31">
        <f>IF(F67="期限卡",MAX(0,I67-TODAY()),"—")</f>
        <v/>
      </c>
      <c r="Q67" s="31">
        <f>IF(A67="","",IF(F67="次卡",IF(OR(K67="",K67=0,M67=0),"",K67/M67),IF(F67="期限卡",IF(AND(K67&lt;&gt;"",K67&lt;&gt;0,I67&gt;H67),K67/(I67-H67),""),"")))</f>
        <v/>
      </c>
      <c r="R67" s="31">
        <f>IF(A67="","",IF(F67="次卡",IF(OR(K67="",K67=0,M67=0),"",Q67*O67),IF(F67="期限卡",IF(AND(K67&lt;&gt;"",K67&lt;&gt;0,I67&gt;H67),Q67*P67,""),"")))</f>
        <v/>
      </c>
      <c r="S67" s="57">
        <f>IF(A67="","",IF(COUNTIFS(上课记录!$B:$B,A67,上课记录!$J:$J,"是")&gt;0,_xlfn.MAXIFS(上课记录!$D:$D,上课记录!$B:$B,A67,上课记录!$J:$J,"是"),IF(H67&gt;0,H67,"未上课")))</f>
        <v/>
      </c>
      <c r="T67" s="31">
        <f>IF(A67="",0,IF(S67="未上课",0,IF(S67="",0,TODAY()-S67)))</f>
        <v/>
      </c>
      <c r="U67" s="31">
        <f>IF(OR(AND(F67="次卡",O67=0),AND(F67="期限卡",P67=0)),"已到期",IF(T67&gt;=10,"沉睡客户",IF(T67&gt;=7,"预警客户",IF(T67=0,IF(A67="","待更新","正常"),"正常"))))</f>
        <v/>
      </c>
      <c r="V67" s="11" t="n"/>
      <c r="W67" s="11" t="n"/>
    </row>
    <row r="68">
      <c r="A68" s="44" t="n"/>
      <c r="B68" s="11" t="n"/>
      <c r="C68" s="11" t="n"/>
      <c r="D68" s="11" t="n"/>
      <c r="E68" s="11" t="n"/>
      <c r="F68" s="11" t="n"/>
      <c r="G68" s="55" t="n"/>
      <c r="H68" s="55" t="n"/>
      <c r="I68" s="55" t="n"/>
      <c r="J68" s="56" t="n"/>
      <c r="K68" s="56" t="n"/>
      <c r="L68" s="46">
        <f>K68-J68</f>
        <v/>
      </c>
      <c r="M68" s="47" t="n"/>
      <c r="N68" s="48">
        <f>COUNTIFS(上课记录!$B:$B,A68,上课记录!$J:$J,"是")</f>
        <v/>
      </c>
      <c r="O68" s="31">
        <f>IF(F68="次卡",MAX(0,M68-N68),"—")</f>
        <v/>
      </c>
      <c r="P68" s="31">
        <f>IF(F68="期限卡",MAX(0,I68-TODAY()),"—")</f>
        <v/>
      </c>
      <c r="Q68" s="31">
        <f>IF(A68="","",IF(F68="次卡",IF(OR(K68="",K68=0,M68=0),"",K68/M68),IF(F68="期限卡",IF(AND(K68&lt;&gt;"",K68&lt;&gt;0,I68&gt;H68),K68/(I68-H68),""),"")))</f>
        <v/>
      </c>
      <c r="R68" s="31">
        <f>IF(A68="","",IF(F68="次卡",IF(OR(K68="",K68=0,M68=0),"",Q68*O68),IF(F68="期限卡",IF(AND(K68&lt;&gt;"",K68&lt;&gt;0,I68&gt;H68),Q68*P68,""),"")))</f>
        <v/>
      </c>
      <c r="S68" s="57">
        <f>IF(A68="","",IF(COUNTIFS(上课记录!$B:$B,A68,上课记录!$J:$J,"是")&gt;0,_xlfn.MAXIFS(上课记录!$D:$D,上课记录!$B:$B,A68,上课记录!$J:$J,"是"),IF(H68&gt;0,H68,"未上课")))</f>
        <v/>
      </c>
      <c r="T68" s="31">
        <f>IF(A68="",0,IF(S68="未上课",0,IF(S68="",0,TODAY()-S68)))</f>
        <v/>
      </c>
      <c r="U68" s="31">
        <f>IF(OR(AND(F68="次卡",O68=0),AND(F68="期限卡",P68=0)),"已到期",IF(T68&gt;=10,"沉睡客户",IF(T68&gt;=7,"预警客户",IF(T68=0,IF(A68="","待更新","正常"),"正常"))))</f>
        <v/>
      </c>
      <c r="V68" s="11" t="n"/>
      <c r="W68" s="11" t="n"/>
    </row>
    <row r="69">
      <c r="A69" s="44" t="n"/>
      <c r="B69" s="11" t="n"/>
      <c r="C69" s="11" t="n"/>
      <c r="D69" s="11" t="n"/>
      <c r="E69" s="11" t="n"/>
      <c r="F69" s="11" t="n"/>
      <c r="G69" s="55" t="n"/>
      <c r="H69" s="55" t="n"/>
      <c r="I69" s="55" t="n"/>
      <c r="J69" s="56" t="n"/>
      <c r="K69" s="56" t="n"/>
      <c r="L69" s="46">
        <f>K69-J69</f>
        <v/>
      </c>
      <c r="M69" s="47" t="n"/>
      <c r="N69" s="48">
        <f>COUNTIFS(上课记录!$B:$B,A69,上课记录!$J:$J,"是")</f>
        <v/>
      </c>
      <c r="O69" s="31">
        <f>IF(F69="次卡",MAX(0,M69-N69),"—")</f>
        <v/>
      </c>
      <c r="P69" s="31">
        <f>IF(F69="期限卡",MAX(0,I69-TODAY()),"—")</f>
        <v/>
      </c>
      <c r="Q69" s="31">
        <f>IF(A69="","",IF(F69="次卡",IF(OR(K69="",K69=0,M69=0),"",K69/M69),IF(F69="期限卡",IF(AND(K69&lt;&gt;"",K69&lt;&gt;0,I69&gt;H69),K69/(I69-H69),""),"")))</f>
        <v/>
      </c>
      <c r="R69" s="31">
        <f>IF(A69="","",IF(F69="次卡",IF(OR(K69="",K69=0,M69=0),"",Q69*O69),IF(F69="期限卡",IF(AND(K69&lt;&gt;"",K69&lt;&gt;0,I69&gt;H69),Q69*P69,""),"")))</f>
        <v/>
      </c>
      <c r="S69" s="57">
        <f>IF(A69="","",IF(COUNTIFS(上课记录!$B:$B,A69,上课记录!$J:$J,"是")&gt;0,_xlfn.MAXIFS(上课记录!$D:$D,上课记录!$B:$B,A69,上课记录!$J:$J,"是"),IF(H69&gt;0,H69,"未上课")))</f>
        <v/>
      </c>
      <c r="T69" s="31">
        <f>IF(A69="",0,IF(S69="未上课",0,IF(S69="",0,TODAY()-S69)))</f>
        <v/>
      </c>
      <c r="U69" s="31">
        <f>IF(OR(AND(F69="次卡",O69=0),AND(F69="期限卡",P69=0)),"已到期",IF(T69&gt;=10,"沉睡客户",IF(T69&gt;=7,"预警客户",IF(T69=0,IF(A69="","待更新","正常"),"正常"))))</f>
        <v/>
      </c>
      <c r="V69" s="11" t="n"/>
      <c r="W69" s="11" t="n"/>
    </row>
    <row r="70">
      <c r="A70" s="44" t="n"/>
      <c r="B70" s="11" t="n"/>
      <c r="C70" s="11" t="n"/>
      <c r="D70" s="11" t="n"/>
      <c r="E70" s="11" t="n"/>
      <c r="F70" s="11" t="n"/>
      <c r="G70" s="55" t="n"/>
      <c r="H70" s="55" t="n"/>
      <c r="I70" s="55" t="n"/>
      <c r="J70" s="56" t="n"/>
      <c r="K70" s="56" t="n"/>
      <c r="L70" s="46">
        <f>K70-J70</f>
        <v/>
      </c>
      <c r="M70" s="47" t="n"/>
      <c r="N70" s="48">
        <f>COUNTIFS(上课记录!$B:$B,A70,上课记录!$J:$J,"是")</f>
        <v/>
      </c>
      <c r="O70" s="31">
        <f>IF(F70="次卡",MAX(0,M70-N70),"—")</f>
        <v/>
      </c>
      <c r="P70" s="31">
        <f>IF(F70="期限卡",MAX(0,I70-TODAY()),"—")</f>
        <v/>
      </c>
      <c r="Q70" s="31">
        <f>IF(A70="","",IF(F70="次卡",IF(OR(K70="",K70=0,M70=0),"",K70/M70),IF(F70="期限卡",IF(AND(K70&lt;&gt;"",K70&lt;&gt;0,I70&gt;H70),K70/(I70-H70),""),"")))</f>
        <v/>
      </c>
      <c r="R70" s="31">
        <f>IF(A70="","",IF(F70="次卡",IF(OR(K70="",K70=0,M70=0),"",Q70*O70),IF(F70="期限卡",IF(AND(K70&lt;&gt;"",K70&lt;&gt;0,I70&gt;H70),Q70*P70,""),"")))</f>
        <v/>
      </c>
      <c r="S70" s="57">
        <f>IF(A70="","",IF(COUNTIFS(上课记录!$B:$B,A70,上课记录!$J:$J,"是")&gt;0,_xlfn.MAXIFS(上课记录!$D:$D,上课记录!$B:$B,A70,上课记录!$J:$J,"是"),IF(H70&gt;0,H70,"未上课")))</f>
        <v/>
      </c>
      <c r="T70" s="31">
        <f>IF(A70="",0,IF(S70="未上课",0,IF(S70="",0,TODAY()-S70)))</f>
        <v/>
      </c>
      <c r="U70" s="31">
        <f>IF(OR(AND(F70="次卡",O70=0),AND(F70="期限卡",P70=0)),"已到期",IF(T70&gt;=10,"沉睡客户",IF(T70&gt;=7,"预警客户",IF(T70=0,IF(A70="","待更新","正常"),"正常"))))</f>
        <v/>
      </c>
      <c r="V70" s="11" t="n"/>
      <c r="W70" s="11" t="n"/>
    </row>
    <row r="71">
      <c r="A71" s="44" t="n"/>
      <c r="B71" s="11" t="n"/>
      <c r="C71" s="11" t="n"/>
      <c r="D71" s="11" t="n"/>
      <c r="E71" s="11" t="n"/>
      <c r="F71" s="11" t="n"/>
      <c r="G71" s="55" t="n"/>
      <c r="H71" s="55" t="n"/>
      <c r="I71" s="55" t="n"/>
      <c r="J71" s="56" t="n"/>
      <c r="K71" s="56" t="n"/>
      <c r="L71" s="46">
        <f>K71-J71</f>
        <v/>
      </c>
      <c r="M71" s="47" t="n"/>
      <c r="N71" s="48">
        <f>COUNTIFS(上课记录!$B:$B,A71,上课记录!$J:$J,"是")</f>
        <v/>
      </c>
      <c r="O71" s="31">
        <f>IF(F71="次卡",MAX(0,M71-N71),"—")</f>
        <v/>
      </c>
      <c r="P71" s="31">
        <f>IF(F71="期限卡",MAX(0,I71-TODAY()),"—")</f>
        <v/>
      </c>
      <c r="Q71" s="31">
        <f>IF(A71="","",IF(F71="次卡",IF(OR(K71="",K71=0,M71=0),"",K71/M71),IF(F71="期限卡",IF(AND(K71&lt;&gt;"",K71&lt;&gt;0,I71&gt;H71),K71/(I71-H71),""),"")))</f>
        <v/>
      </c>
      <c r="R71" s="31">
        <f>IF(A71="","",IF(F71="次卡",IF(OR(K71="",K71=0,M71=0),"",Q71*O71),IF(F71="期限卡",IF(AND(K71&lt;&gt;"",K71&lt;&gt;0,I71&gt;H71),Q71*P71,""),"")))</f>
        <v/>
      </c>
      <c r="S71" s="57">
        <f>IF(A71="","",IF(COUNTIFS(上课记录!$B:$B,A71,上课记录!$J:$J,"是")&gt;0,_xlfn.MAXIFS(上课记录!$D:$D,上课记录!$B:$B,A71,上课记录!$J:$J,"是"),IF(H71&gt;0,H71,"未上课")))</f>
        <v/>
      </c>
      <c r="T71" s="31">
        <f>IF(A71="",0,IF(S71="未上课",0,IF(S71="",0,TODAY()-S71)))</f>
        <v/>
      </c>
      <c r="U71" s="31">
        <f>IF(OR(AND(F71="次卡",O71=0),AND(F71="期限卡",P71=0)),"已到期",IF(T71&gt;=10,"沉睡客户",IF(T71&gt;=7,"预警客户",IF(T71=0,IF(A71="","待更新","正常"),"正常"))))</f>
        <v/>
      </c>
      <c r="V71" s="11" t="n"/>
      <c r="W71" s="11" t="n"/>
    </row>
    <row r="72">
      <c r="A72" s="44" t="n"/>
      <c r="B72" s="11" t="n"/>
      <c r="C72" s="11" t="n"/>
      <c r="D72" s="11" t="n"/>
      <c r="E72" s="11" t="n"/>
      <c r="F72" s="11" t="n"/>
      <c r="G72" s="55" t="n"/>
      <c r="H72" s="55" t="n"/>
      <c r="I72" s="55" t="n"/>
      <c r="J72" s="56" t="n"/>
      <c r="K72" s="56" t="n"/>
      <c r="L72" s="46">
        <f>K72-J72</f>
        <v/>
      </c>
      <c r="M72" s="47" t="n"/>
      <c r="N72" s="48">
        <f>COUNTIFS(上课记录!$B:$B,A72,上课记录!$J:$J,"是")</f>
        <v/>
      </c>
      <c r="O72" s="31">
        <f>IF(F72="次卡",MAX(0,M72-N72),"—")</f>
        <v/>
      </c>
      <c r="P72" s="31">
        <f>IF(F72="期限卡",MAX(0,I72-TODAY()),"—")</f>
        <v/>
      </c>
      <c r="Q72" s="31">
        <f>IF(A72="","",IF(F72="次卡",IF(OR(K72="",K72=0,M72=0),"",K72/M72),IF(F72="期限卡",IF(AND(K72&lt;&gt;"",K72&lt;&gt;0,I72&gt;H72),K72/(I72-H72),""),"")))</f>
        <v/>
      </c>
      <c r="R72" s="31">
        <f>IF(A72="","",IF(F72="次卡",IF(OR(K72="",K72=0,M72=0),"",Q72*O72),IF(F72="期限卡",IF(AND(K72&lt;&gt;"",K72&lt;&gt;0,I72&gt;H72),Q72*P72,""),"")))</f>
        <v/>
      </c>
      <c r="S72" s="57">
        <f>IF(A72="","",IF(COUNTIFS(上课记录!$B:$B,A72,上课记录!$J:$J,"是")&gt;0,_xlfn.MAXIFS(上课记录!$D:$D,上课记录!$B:$B,A72,上课记录!$J:$J,"是"),IF(H72&gt;0,H72,"未上课")))</f>
        <v/>
      </c>
      <c r="T72" s="31">
        <f>IF(A72="",0,IF(S72="未上课",0,IF(S72="",0,TODAY()-S72)))</f>
        <v/>
      </c>
      <c r="U72" s="31">
        <f>IF(OR(AND(F72="次卡",O72=0),AND(F72="期限卡",P72=0)),"已到期",IF(T72&gt;=10,"沉睡客户",IF(T72&gt;=7,"预警客户",IF(T72=0,IF(A72="","待更新","正常"),"正常"))))</f>
        <v/>
      </c>
      <c r="V72" s="11" t="n"/>
      <c r="W72" s="11" t="n"/>
    </row>
    <row r="73">
      <c r="A73" s="44" t="n"/>
      <c r="B73" s="11" t="n"/>
      <c r="C73" s="11" t="n"/>
      <c r="D73" s="11" t="n"/>
      <c r="E73" s="11" t="n"/>
      <c r="F73" s="11" t="n"/>
      <c r="G73" s="55" t="n"/>
      <c r="H73" s="55" t="n"/>
      <c r="I73" s="55" t="n"/>
      <c r="J73" s="56" t="n"/>
      <c r="K73" s="56" t="n"/>
      <c r="L73" s="46">
        <f>K73-J73</f>
        <v/>
      </c>
      <c r="M73" s="47" t="n"/>
      <c r="N73" s="48">
        <f>COUNTIFS(上课记录!$B:$B,A73,上课记录!$J:$J,"是")</f>
        <v/>
      </c>
      <c r="O73" s="31">
        <f>IF(F73="次卡",MAX(0,M73-N73),"—")</f>
        <v/>
      </c>
      <c r="P73" s="31">
        <f>IF(F73="期限卡",MAX(0,I73-TODAY()),"—")</f>
        <v/>
      </c>
      <c r="Q73" s="31">
        <f>IF(A73="","",IF(F73="次卡",IF(OR(K73="",K73=0,M73=0),"",K73/M73),IF(F73="期限卡",IF(AND(K73&lt;&gt;"",K73&lt;&gt;0,I73&gt;H73),K73/(I73-H73),""),"")))</f>
        <v/>
      </c>
      <c r="R73" s="31">
        <f>IF(A73="","",IF(F73="次卡",IF(OR(K73="",K73=0,M73=0),"",Q73*O73),IF(F73="期限卡",IF(AND(K73&lt;&gt;"",K73&lt;&gt;0,I73&gt;H73),Q73*P73,""),"")))</f>
        <v/>
      </c>
      <c r="S73" s="57">
        <f>IF(A73="","",IF(COUNTIFS(上课记录!$B:$B,A73,上课记录!$J:$J,"是")&gt;0,_xlfn.MAXIFS(上课记录!$D:$D,上课记录!$B:$B,A73,上课记录!$J:$J,"是"),IF(H73&gt;0,H73,"未上课")))</f>
        <v/>
      </c>
      <c r="T73" s="31">
        <f>IF(A73="",0,IF(S73="未上课",0,IF(S73="",0,TODAY()-S73)))</f>
        <v/>
      </c>
      <c r="U73" s="31">
        <f>IF(OR(AND(F73="次卡",O73=0),AND(F73="期限卡",P73=0)),"已到期",IF(T73&gt;=10,"沉睡客户",IF(T73&gt;=7,"预警客户",IF(T73=0,IF(A73="","待更新","正常"),"正常"))))</f>
        <v/>
      </c>
      <c r="V73" s="11" t="n"/>
      <c r="W73" s="11" t="n"/>
    </row>
    <row r="74">
      <c r="A74" s="44" t="n"/>
      <c r="B74" s="11" t="n"/>
      <c r="C74" s="11" t="n"/>
      <c r="D74" s="11" t="n"/>
      <c r="E74" s="11" t="n"/>
      <c r="F74" s="11" t="n"/>
      <c r="G74" s="55" t="n"/>
      <c r="H74" s="55" t="n"/>
      <c r="I74" s="55" t="n"/>
      <c r="J74" s="56" t="n"/>
      <c r="K74" s="56" t="n"/>
      <c r="L74" s="46">
        <f>K74-J74</f>
        <v/>
      </c>
      <c r="M74" s="47" t="n"/>
      <c r="N74" s="48">
        <f>COUNTIFS(上课记录!$B:$B,A74,上课记录!$J:$J,"是")</f>
        <v/>
      </c>
      <c r="O74" s="31">
        <f>IF(F74="次卡",MAX(0,M74-N74),"—")</f>
        <v/>
      </c>
      <c r="P74" s="31">
        <f>IF(F74="期限卡",MAX(0,I74-TODAY()),"—")</f>
        <v/>
      </c>
      <c r="Q74" s="31">
        <f>IF(A74="","",IF(F74="次卡",IF(OR(K74="",K74=0,M74=0),"",K74/M74),IF(F74="期限卡",IF(AND(K74&lt;&gt;"",K74&lt;&gt;0,I74&gt;H74),K74/(I74-H74),""),"")))</f>
        <v/>
      </c>
      <c r="R74" s="31">
        <f>IF(A74="","",IF(F74="次卡",IF(OR(K74="",K74=0,M74=0),"",Q74*O74),IF(F74="期限卡",IF(AND(K74&lt;&gt;"",K74&lt;&gt;0,I74&gt;H74),Q74*P74,""),"")))</f>
        <v/>
      </c>
      <c r="S74" s="57">
        <f>IF(A74="","",IF(COUNTIFS(上课记录!$B:$B,A74,上课记录!$J:$J,"是")&gt;0,_xlfn.MAXIFS(上课记录!$D:$D,上课记录!$B:$B,A74,上课记录!$J:$J,"是"),IF(H74&gt;0,H74,"未上课")))</f>
        <v/>
      </c>
      <c r="T74" s="31">
        <f>IF(A74="",0,IF(S74="未上课",0,IF(S74="",0,TODAY()-S74)))</f>
        <v/>
      </c>
      <c r="U74" s="31">
        <f>IF(OR(AND(F74="次卡",O74=0),AND(F74="期限卡",P74=0)),"已到期",IF(T74&gt;=10,"沉睡客户",IF(T74&gt;=7,"预警客户",IF(T74=0,IF(A74="","待更新","正常"),"正常"))))</f>
        <v/>
      </c>
      <c r="V74" s="11" t="n"/>
      <c r="W74" s="11" t="n"/>
    </row>
    <row r="75">
      <c r="A75" s="44" t="n"/>
      <c r="B75" s="11" t="n"/>
      <c r="C75" s="11" t="n"/>
      <c r="D75" s="11" t="n"/>
      <c r="E75" s="11" t="n"/>
      <c r="F75" s="11" t="n"/>
      <c r="G75" s="55" t="n"/>
      <c r="H75" s="55" t="n"/>
      <c r="I75" s="55" t="n"/>
      <c r="J75" s="56" t="n"/>
      <c r="K75" s="56" t="n"/>
      <c r="L75" s="46">
        <f>K75-J75</f>
        <v/>
      </c>
      <c r="M75" s="47" t="n"/>
      <c r="N75" s="48">
        <f>COUNTIFS(上课记录!$B:$B,A75,上课记录!$J:$J,"是")</f>
        <v/>
      </c>
      <c r="O75" s="31">
        <f>IF(F75="次卡",MAX(0,M75-N75),"—")</f>
        <v/>
      </c>
      <c r="P75" s="31">
        <f>IF(F75="期限卡",MAX(0,I75-TODAY()),"—")</f>
        <v/>
      </c>
      <c r="Q75" s="31">
        <f>IF(A75="","",IF(F75="次卡",IF(OR(K75="",K75=0,M75=0),"",K75/M75),IF(F75="期限卡",IF(AND(K75&lt;&gt;"",K75&lt;&gt;0,I75&gt;H75),K75/(I75-H75),""),"")))</f>
        <v/>
      </c>
      <c r="R75" s="31">
        <f>IF(A75="","",IF(F75="次卡",IF(OR(K75="",K75=0,M75=0),"",Q75*O75),IF(F75="期限卡",IF(AND(K75&lt;&gt;"",K75&lt;&gt;0,I75&gt;H75),Q75*P75,""),"")))</f>
        <v/>
      </c>
      <c r="S75" s="57">
        <f>IF(A75="","",IF(COUNTIFS(上课记录!$B:$B,A75,上课记录!$J:$J,"是")&gt;0,_xlfn.MAXIFS(上课记录!$D:$D,上课记录!$B:$B,A75,上课记录!$J:$J,"是"),IF(H75&gt;0,H75,"未上课")))</f>
        <v/>
      </c>
      <c r="T75" s="31">
        <f>IF(A75="",0,IF(S75="未上课",0,IF(S75="",0,TODAY()-S75)))</f>
        <v/>
      </c>
      <c r="U75" s="31">
        <f>IF(OR(AND(F75="次卡",O75=0),AND(F75="期限卡",P75=0)),"已到期",IF(T75&gt;=10,"沉睡客户",IF(T75&gt;=7,"预警客户",IF(T75=0,IF(A75="","待更新","正常"),"正常"))))</f>
        <v/>
      </c>
      <c r="V75" s="11" t="n"/>
      <c r="W75" s="11" t="n"/>
    </row>
    <row r="76">
      <c r="A76" s="44" t="n"/>
      <c r="B76" s="11" t="n"/>
      <c r="C76" s="11" t="n"/>
      <c r="D76" s="11" t="n"/>
      <c r="E76" s="11" t="n"/>
      <c r="F76" s="11" t="n"/>
      <c r="G76" s="55" t="n"/>
      <c r="H76" s="55" t="n"/>
      <c r="I76" s="55" t="n"/>
      <c r="J76" s="56" t="n"/>
      <c r="K76" s="56" t="n"/>
      <c r="L76" s="46">
        <f>K76-J76</f>
        <v/>
      </c>
      <c r="M76" s="47" t="n"/>
      <c r="N76" s="48">
        <f>COUNTIFS(上课记录!$B:$B,A76,上课记录!$J:$J,"是")</f>
        <v/>
      </c>
      <c r="O76" s="31">
        <f>IF(F76="次卡",MAX(0,M76-N76),"—")</f>
        <v/>
      </c>
      <c r="P76" s="31">
        <f>IF(F76="期限卡",MAX(0,I76-TODAY()),"—")</f>
        <v/>
      </c>
      <c r="Q76" s="31">
        <f>IF(A76="","",IF(F76="次卡",IF(OR(K76="",K76=0,M76=0),"",K76/M76),IF(F76="期限卡",IF(AND(K76&lt;&gt;"",K76&lt;&gt;0,I76&gt;H76),K76/(I76-H76),""),"")))</f>
        <v/>
      </c>
      <c r="R76" s="31">
        <f>IF(A76="","",IF(F76="次卡",IF(OR(K76="",K76=0,M76=0),"",Q76*O76),IF(F76="期限卡",IF(AND(K76&lt;&gt;"",K76&lt;&gt;0,I76&gt;H76),Q76*P76,""),"")))</f>
        <v/>
      </c>
      <c r="S76" s="57">
        <f>IF(A76="","",IF(COUNTIFS(上课记录!$B:$B,A76,上课记录!$J:$J,"是")&gt;0,_xlfn.MAXIFS(上课记录!$D:$D,上课记录!$B:$B,A76,上课记录!$J:$J,"是"),IF(H76&gt;0,H76,"未上课")))</f>
        <v/>
      </c>
      <c r="T76" s="31">
        <f>IF(A76="",0,IF(S76="未上课",0,IF(S76="",0,TODAY()-S76)))</f>
        <v/>
      </c>
      <c r="U76" s="31">
        <f>IF(OR(AND(F76="次卡",O76=0),AND(F76="期限卡",P76=0)),"已到期",IF(T76&gt;=10,"沉睡客户",IF(T76&gt;=7,"预警客户",IF(T76=0,IF(A76="","待更新","正常"),"正常"))))</f>
        <v/>
      </c>
      <c r="V76" s="11" t="n"/>
      <c r="W76" s="11" t="n"/>
    </row>
    <row r="77">
      <c r="A77" s="44" t="n"/>
      <c r="B77" s="11" t="n"/>
      <c r="C77" s="11" t="n"/>
      <c r="D77" s="11" t="n"/>
      <c r="E77" s="11" t="n"/>
      <c r="F77" s="11" t="n"/>
      <c r="G77" s="55" t="n"/>
      <c r="H77" s="55" t="n"/>
      <c r="I77" s="55" t="n"/>
      <c r="J77" s="56" t="n"/>
      <c r="K77" s="56" t="n"/>
      <c r="L77" s="46">
        <f>K77-J77</f>
        <v/>
      </c>
      <c r="M77" s="47" t="n"/>
      <c r="N77" s="48">
        <f>COUNTIFS(上课记录!$B:$B,A77,上课记录!$J:$J,"是")</f>
        <v/>
      </c>
      <c r="O77" s="31">
        <f>IF(F77="次卡",MAX(0,M77-N77),"—")</f>
        <v/>
      </c>
      <c r="P77" s="31">
        <f>IF(F77="期限卡",MAX(0,I77-TODAY()),"—")</f>
        <v/>
      </c>
      <c r="Q77" s="31">
        <f>IF(A77="","",IF(F77="次卡",IF(OR(K77="",K77=0,M77=0),"",K77/M77),IF(F77="期限卡",IF(AND(K77&lt;&gt;"",K77&lt;&gt;0,I77&gt;H77),K77/(I77-H77),""),"")))</f>
        <v/>
      </c>
      <c r="R77" s="31">
        <f>IF(A77="","",IF(F77="次卡",IF(OR(K77="",K77=0,M77=0),"",Q77*O77),IF(F77="期限卡",IF(AND(K77&lt;&gt;"",K77&lt;&gt;0,I77&gt;H77),Q77*P77,""),"")))</f>
        <v/>
      </c>
      <c r="S77" s="57">
        <f>IF(A77="","",IF(COUNTIFS(上课记录!$B:$B,A77,上课记录!$J:$J,"是")&gt;0,_xlfn.MAXIFS(上课记录!$D:$D,上课记录!$B:$B,A77,上课记录!$J:$J,"是"),IF(H77&gt;0,H77,"未上课")))</f>
        <v/>
      </c>
      <c r="T77" s="31">
        <f>IF(A77="",0,IF(S77="未上课",0,IF(S77="",0,TODAY()-S77)))</f>
        <v/>
      </c>
      <c r="U77" s="31">
        <f>IF(OR(AND(F77="次卡",O77=0),AND(F77="期限卡",P77=0)),"已到期",IF(T77&gt;=10,"沉睡客户",IF(T77&gt;=7,"预警客户",IF(T77=0,IF(A77="","待更新","正常"),"正常"))))</f>
        <v/>
      </c>
      <c r="V77" s="11" t="n"/>
      <c r="W77" s="11" t="n"/>
    </row>
    <row r="78">
      <c r="A78" s="44" t="n"/>
      <c r="B78" s="11" t="n"/>
      <c r="C78" s="11" t="n"/>
      <c r="D78" s="11" t="n"/>
      <c r="E78" s="11" t="n"/>
      <c r="F78" s="11" t="n"/>
      <c r="G78" s="55" t="n"/>
      <c r="H78" s="55" t="n"/>
      <c r="I78" s="55" t="n"/>
      <c r="J78" s="56" t="n"/>
      <c r="K78" s="56" t="n"/>
      <c r="L78" s="46">
        <f>K78-J78</f>
        <v/>
      </c>
      <c r="M78" s="47" t="n"/>
      <c r="N78" s="48">
        <f>COUNTIFS(上课记录!$B:$B,A78,上课记录!$J:$J,"是")</f>
        <v/>
      </c>
      <c r="O78" s="31">
        <f>IF(F78="次卡",MAX(0,M78-N78),"—")</f>
        <v/>
      </c>
      <c r="P78" s="31">
        <f>IF(F78="期限卡",MAX(0,I78-TODAY()),"—")</f>
        <v/>
      </c>
      <c r="Q78" s="31">
        <f>IF(A78="","",IF(F78="次卡",IF(OR(K78="",K78=0,M78=0),"",K78/M78),IF(F78="期限卡",IF(AND(K78&lt;&gt;"",K78&lt;&gt;0,I78&gt;H78),K78/(I78-H78),""),"")))</f>
        <v/>
      </c>
      <c r="R78" s="31">
        <f>IF(A78="","",IF(F78="次卡",IF(OR(K78="",K78=0,M78=0),"",Q78*O78),IF(F78="期限卡",IF(AND(K78&lt;&gt;"",K78&lt;&gt;0,I78&gt;H78),Q78*P78,""),"")))</f>
        <v/>
      </c>
      <c r="S78" s="57">
        <f>IF(A78="","",IF(COUNTIFS(上课记录!$B:$B,A78,上课记录!$J:$J,"是")&gt;0,_xlfn.MAXIFS(上课记录!$D:$D,上课记录!$B:$B,A78,上课记录!$J:$J,"是"),IF(H78&gt;0,H78,"未上课")))</f>
        <v/>
      </c>
      <c r="T78" s="31">
        <f>IF(A78="",0,IF(S78="未上课",0,IF(S78="",0,TODAY()-S78)))</f>
        <v/>
      </c>
      <c r="U78" s="31">
        <f>IF(OR(AND(F78="次卡",O78=0),AND(F78="期限卡",P78=0)),"已到期",IF(T78&gt;=10,"沉睡客户",IF(T78&gt;=7,"预警客户",IF(T78=0,IF(A78="","待更新","正常"),"正常"))))</f>
        <v/>
      </c>
      <c r="V78" s="11" t="n"/>
      <c r="W78" s="11" t="n"/>
    </row>
    <row r="79">
      <c r="A79" s="44" t="n"/>
      <c r="B79" s="11" t="n"/>
      <c r="C79" s="11" t="n"/>
      <c r="D79" s="11" t="n"/>
      <c r="E79" s="11" t="n"/>
      <c r="F79" s="11" t="n"/>
      <c r="G79" s="55" t="n"/>
      <c r="H79" s="55" t="n"/>
      <c r="I79" s="55" t="n"/>
      <c r="J79" s="56" t="n"/>
      <c r="K79" s="56" t="n"/>
      <c r="L79" s="46">
        <f>K79-J79</f>
        <v/>
      </c>
      <c r="M79" s="47" t="n"/>
      <c r="N79" s="48">
        <f>COUNTIFS(上课记录!$B:$B,A79,上课记录!$J:$J,"是")</f>
        <v/>
      </c>
      <c r="O79" s="31">
        <f>IF(F79="次卡",MAX(0,M79-N79),"—")</f>
        <v/>
      </c>
      <c r="P79" s="31">
        <f>IF(F79="期限卡",MAX(0,I79-TODAY()),"—")</f>
        <v/>
      </c>
      <c r="Q79" s="31">
        <f>IF(A79="","",IF(F79="次卡",IF(OR(K79="",K79=0,M79=0),"",K79/M79),IF(F79="期限卡",IF(AND(K79&lt;&gt;"",K79&lt;&gt;0,I79&gt;H79),K79/(I79-H79),""),"")))</f>
        <v/>
      </c>
      <c r="R79" s="31">
        <f>IF(A79="","",IF(F79="次卡",IF(OR(K79="",K79=0,M79=0),"",Q79*O79),IF(F79="期限卡",IF(AND(K79&lt;&gt;"",K79&lt;&gt;0,I79&gt;H79),Q79*P79,""),"")))</f>
        <v/>
      </c>
      <c r="S79" s="57">
        <f>IF(A79="","",IF(COUNTIFS(上课记录!$B:$B,A79,上课记录!$J:$J,"是")&gt;0,_xlfn.MAXIFS(上课记录!$D:$D,上课记录!$B:$B,A79,上课记录!$J:$J,"是"),IF(H79&gt;0,H79,"未上课")))</f>
        <v/>
      </c>
      <c r="T79" s="31">
        <f>IF(A79="",0,IF(S79="未上课",0,IF(S79="",0,TODAY()-S79)))</f>
        <v/>
      </c>
      <c r="U79" s="31">
        <f>IF(OR(AND(F79="次卡",O79=0),AND(F79="期限卡",P79=0)),"已到期",IF(T79&gt;=10,"沉睡客户",IF(T79&gt;=7,"预警客户",IF(T79=0,IF(A79="","待更新","正常"),"正常"))))</f>
        <v/>
      </c>
      <c r="V79" s="11" t="n"/>
      <c r="W79" s="11" t="n"/>
    </row>
    <row r="80">
      <c r="A80" s="44" t="n"/>
      <c r="B80" s="11" t="n"/>
      <c r="C80" s="11" t="n"/>
      <c r="D80" s="11" t="n"/>
      <c r="E80" s="11" t="n"/>
      <c r="F80" s="11" t="n"/>
      <c r="G80" s="55" t="n"/>
      <c r="H80" s="55" t="n"/>
      <c r="I80" s="55" t="n"/>
      <c r="J80" s="56" t="n"/>
      <c r="K80" s="56" t="n"/>
      <c r="L80" s="46">
        <f>K80-J80</f>
        <v/>
      </c>
      <c r="M80" s="47" t="n"/>
      <c r="N80" s="48">
        <f>COUNTIFS(上课记录!$B:$B,A80,上课记录!$J:$J,"是")</f>
        <v/>
      </c>
      <c r="O80" s="31">
        <f>IF(F80="次卡",MAX(0,M80-N80),"—")</f>
        <v/>
      </c>
      <c r="P80" s="31">
        <f>IF(F80="期限卡",MAX(0,I80-TODAY()),"—")</f>
        <v/>
      </c>
      <c r="Q80" s="31">
        <f>IF(A80="","",IF(F80="次卡",IF(OR(K80="",K80=0,M80=0),"",K80/M80),IF(F80="期限卡",IF(AND(K80&lt;&gt;"",K80&lt;&gt;0,I80&gt;H80),K80/(I80-H80),""),"")))</f>
        <v/>
      </c>
      <c r="R80" s="31">
        <f>IF(A80="","",IF(F80="次卡",IF(OR(K80="",K80=0,M80=0),"",Q80*O80),IF(F80="期限卡",IF(AND(K80&lt;&gt;"",K80&lt;&gt;0,I80&gt;H80),Q80*P80,""),"")))</f>
        <v/>
      </c>
      <c r="S80" s="57">
        <f>IF(A80="","",IF(COUNTIFS(上课记录!$B:$B,A80,上课记录!$J:$J,"是")&gt;0,_xlfn.MAXIFS(上课记录!$D:$D,上课记录!$B:$B,A80,上课记录!$J:$J,"是"),IF(H80&gt;0,H80,"未上课")))</f>
        <v/>
      </c>
      <c r="T80" s="31">
        <f>IF(A80="",0,IF(S80="未上课",0,IF(S80="",0,TODAY()-S80)))</f>
        <v/>
      </c>
      <c r="U80" s="31">
        <f>IF(OR(AND(F80="次卡",O80=0),AND(F80="期限卡",P80=0)),"已到期",IF(T80&gt;=10,"沉睡客户",IF(T80&gt;=7,"预警客户",IF(T80=0,IF(A80="","待更新","正常"),"正常"))))</f>
        <v/>
      </c>
      <c r="V80" s="11" t="n"/>
      <c r="W80" s="11" t="n"/>
    </row>
    <row r="81">
      <c r="A81" s="44" t="n"/>
      <c r="B81" s="11" t="n"/>
      <c r="C81" s="11" t="n"/>
      <c r="D81" s="11" t="n"/>
      <c r="E81" s="11" t="n"/>
      <c r="F81" s="11" t="n"/>
      <c r="G81" s="55" t="n"/>
      <c r="H81" s="55" t="n"/>
      <c r="I81" s="55" t="n"/>
      <c r="J81" s="56" t="n"/>
      <c r="K81" s="56" t="n"/>
      <c r="L81" s="46">
        <f>K81-J81</f>
        <v/>
      </c>
      <c r="M81" s="47" t="n"/>
      <c r="N81" s="48">
        <f>COUNTIFS(上课记录!$B:$B,A81,上课记录!$J:$J,"是")</f>
        <v/>
      </c>
      <c r="O81" s="31">
        <f>IF(F81="次卡",MAX(0,M81-N81),"—")</f>
        <v/>
      </c>
      <c r="P81" s="31">
        <f>IF(F81="期限卡",MAX(0,I81-TODAY()),"—")</f>
        <v/>
      </c>
      <c r="Q81" s="31">
        <f>IF(A81="","",IF(F81="次卡",IF(OR(K81="",K81=0,M81=0),"",K81/M81),IF(F81="期限卡",IF(AND(K81&lt;&gt;"",K81&lt;&gt;0,I81&gt;H81),K81/(I81-H81),""),"")))</f>
        <v/>
      </c>
      <c r="R81" s="31">
        <f>IF(A81="","",IF(F81="次卡",IF(OR(K81="",K81=0,M81=0),"",Q81*O81),IF(F81="期限卡",IF(AND(K81&lt;&gt;"",K81&lt;&gt;0,I81&gt;H81),Q81*P81,""),"")))</f>
        <v/>
      </c>
      <c r="S81" s="57">
        <f>IF(A81="","",IF(COUNTIFS(上课记录!$B:$B,A81,上课记录!$J:$J,"是")&gt;0,_xlfn.MAXIFS(上课记录!$D:$D,上课记录!$B:$B,A81,上课记录!$J:$J,"是"),IF(H81&gt;0,H81,"未上课")))</f>
        <v/>
      </c>
      <c r="T81" s="31">
        <f>IF(A81="",0,IF(S81="未上课",0,IF(S81="",0,TODAY()-S81)))</f>
        <v/>
      </c>
      <c r="U81" s="31">
        <f>IF(OR(AND(F81="次卡",O81=0),AND(F81="期限卡",P81=0)),"已到期",IF(T81&gt;=10,"沉睡客户",IF(T81&gt;=7,"预警客户",IF(T81=0,IF(A81="","待更新","正常"),"正常"))))</f>
        <v/>
      </c>
      <c r="V81" s="11" t="n"/>
      <c r="W81" s="11" t="n"/>
    </row>
    <row r="82">
      <c r="A82" s="44" t="n"/>
      <c r="B82" s="11" t="n"/>
      <c r="C82" s="11" t="n"/>
      <c r="D82" s="11" t="n"/>
      <c r="E82" s="11" t="n"/>
      <c r="F82" s="11" t="n"/>
      <c r="G82" s="55" t="n"/>
      <c r="H82" s="55" t="n"/>
      <c r="I82" s="55" t="n"/>
      <c r="J82" s="56" t="n"/>
      <c r="K82" s="56" t="n"/>
      <c r="L82" s="46">
        <f>K82-J82</f>
        <v/>
      </c>
      <c r="M82" s="47" t="n"/>
      <c r="N82" s="48">
        <f>COUNTIFS(上课记录!$B:$B,A82,上课记录!$J:$J,"是")</f>
        <v/>
      </c>
      <c r="O82" s="31">
        <f>IF(F82="次卡",MAX(0,M82-N82),"—")</f>
        <v/>
      </c>
      <c r="P82" s="31">
        <f>IF(F82="期限卡",MAX(0,I82-TODAY()),"—")</f>
        <v/>
      </c>
      <c r="Q82" s="31">
        <f>IF(A82="","",IF(F82="次卡",IF(OR(K82="",K82=0,M82=0),"",K82/M82),IF(F82="期限卡",IF(AND(K82&lt;&gt;"",K82&lt;&gt;0,I82&gt;H82),K82/(I82-H82),""),"")))</f>
        <v/>
      </c>
      <c r="R82" s="31">
        <f>IF(A82="","",IF(F82="次卡",IF(OR(K82="",K82=0,M82=0),"",Q82*O82),IF(F82="期限卡",IF(AND(K82&lt;&gt;"",K82&lt;&gt;0,I82&gt;H82),Q82*P82,""),"")))</f>
        <v/>
      </c>
      <c r="S82" s="57">
        <f>IF(A82="","",IF(COUNTIFS(上课记录!$B:$B,A82,上课记录!$J:$J,"是")&gt;0,_xlfn.MAXIFS(上课记录!$D:$D,上课记录!$B:$B,A82,上课记录!$J:$J,"是"),IF(H82&gt;0,H82,"未上课")))</f>
        <v/>
      </c>
      <c r="T82" s="31">
        <f>IF(A82="",0,IF(S82="未上课",0,IF(S82="",0,TODAY()-S82)))</f>
        <v/>
      </c>
      <c r="U82" s="31">
        <f>IF(OR(AND(F82="次卡",O82=0),AND(F82="期限卡",P82=0)),"已到期",IF(T82&gt;=10,"沉睡客户",IF(T82&gt;=7,"预警客户",IF(T82=0,IF(A82="","待更新","正常"),"正常"))))</f>
        <v/>
      </c>
      <c r="V82" s="11" t="n"/>
      <c r="W82" s="11" t="n"/>
    </row>
    <row r="83">
      <c r="A83" s="44" t="n"/>
      <c r="B83" s="11" t="n"/>
      <c r="C83" s="11" t="n"/>
      <c r="D83" s="11" t="n"/>
      <c r="E83" s="11" t="n"/>
      <c r="F83" s="11" t="n"/>
      <c r="G83" s="55" t="n"/>
      <c r="H83" s="55" t="n"/>
      <c r="I83" s="55" t="n"/>
      <c r="J83" s="56" t="n"/>
      <c r="K83" s="56" t="n"/>
      <c r="L83" s="46">
        <f>K83-J83</f>
        <v/>
      </c>
      <c r="M83" s="47" t="n"/>
      <c r="N83" s="48">
        <f>COUNTIFS(上课记录!$B:$B,A83,上课记录!$J:$J,"是")</f>
        <v/>
      </c>
      <c r="O83" s="31">
        <f>IF(F83="次卡",MAX(0,M83-N83),"—")</f>
        <v/>
      </c>
      <c r="P83" s="31">
        <f>IF(F83="期限卡",MAX(0,I83-TODAY()),"—")</f>
        <v/>
      </c>
      <c r="Q83" s="31">
        <f>IF(A83="","",IF(F83="次卡",IF(OR(K83="",K83=0,M83=0),"",K83/M83),IF(F83="期限卡",IF(AND(K83&lt;&gt;"",K83&lt;&gt;0,I83&gt;H83),K83/(I83-H83),""),"")))</f>
        <v/>
      </c>
      <c r="R83" s="31">
        <f>IF(A83="","",IF(F83="次卡",IF(OR(K83="",K83=0,M83=0),"",Q83*O83),IF(F83="期限卡",IF(AND(K83&lt;&gt;"",K83&lt;&gt;0,I83&gt;H83),Q83*P83,""),"")))</f>
        <v/>
      </c>
      <c r="S83" s="57">
        <f>IF(A83="","",IF(COUNTIFS(上课记录!$B:$B,A83,上课记录!$J:$J,"是")&gt;0,_xlfn.MAXIFS(上课记录!$D:$D,上课记录!$B:$B,A83,上课记录!$J:$J,"是"),IF(H83&gt;0,H83,"未上课")))</f>
        <v/>
      </c>
      <c r="T83" s="31">
        <f>IF(A83="",0,IF(S83="未上课",0,IF(S83="",0,TODAY()-S83)))</f>
        <v/>
      </c>
      <c r="U83" s="31">
        <f>IF(OR(AND(F83="次卡",O83=0),AND(F83="期限卡",P83=0)),"已到期",IF(T83&gt;=10,"沉睡客户",IF(T83&gt;=7,"预警客户",IF(T83=0,IF(A83="","待更新","正常"),"正常"))))</f>
        <v/>
      </c>
      <c r="V83" s="11" t="n"/>
      <c r="W83" s="11" t="n"/>
    </row>
    <row r="84">
      <c r="A84" s="44" t="n"/>
      <c r="B84" s="11" t="n"/>
      <c r="C84" s="11" t="n"/>
      <c r="D84" s="11" t="n"/>
      <c r="E84" s="11" t="n"/>
      <c r="F84" s="11" t="n"/>
      <c r="G84" s="55" t="n"/>
      <c r="H84" s="55" t="n"/>
      <c r="I84" s="55" t="n"/>
      <c r="J84" s="56" t="n"/>
      <c r="K84" s="56" t="n"/>
      <c r="L84" s="46">
        <f>K84-J84</f>
        <v/>
      </c>
      <c r="M84" s="47" t="n"/>
      <c r="N84" s="48">
        <f>COUNTIFS(上课记录!$B:$B,A84,上课记录!$J:$J,"是")</f>
        <v/>
      </c>
      <c r="O84" s="31">
        <f>IF(F84="次卡",MAX(0,M84-N84),"—")</f>
        <v/>
      </c>
      <c r="P84" s="31">
        <f>IF(F84="期限卡",MAX(0,I84-TODAY()),"—")</f>
        <v/>
      </c>
      <c r="Q84" s="31">
        <f>IF(A84="","",IF(F84="次卡",IF(OR(K84="",K84=0,M84=0),"",K84/M84),IF(F84="期限卡",IF(AND(K84&lt;&gt;"",K84&lt;&gt;0,I84&gt;H84),K84/(I84-H84),""),"")))</f>
        <v/>
      </c>
      <c r="R84" s="31">
        <f>IF(A84="","",IF(F84="次卡",IF(OR(K84="",K84=0,M84=0),"",Q84*O84),IF(F84="期限卡",IF(AND(K84&lt;&gt;"",K84&lt;&gt;0,I84&gt;H84),Q84*P84,""),"")))</f>
        <v/>
      </c>
      <c r="S84" s="57">
        <f>IF(A84="","",IF(COUNTIFS(上课记录!$B:$B,A84,上课记录!$J:$J,"是")&gt;0,_xlfn.MAXIFS(上课记录!$D:$D,上课记录!$B:$B,A84,上课记录!$J:$J,"是"),IF(H84&gt;0,H84,"未上课")))</f>
        <v/>
      </c>
      <c r="T84" s="31">
        <f>IF(A84="",0,IF(S84="未上课",0,IF(S84="",0,TODAY()-S84)))</f>
        <v/>
      </c>
      <c r="U84" s="31">
        <f>IF(OR(AND(F84="次卡",O84=0),AND(F84="期限卡",P84=0)),"已到期",IF(T84&gt;=10,"沉睡客户",IF(T84&gt;=7,"预警客户",IF(T84=0,IF(A84="","待更新","正常"),"正常"))))</f>
        <v/>
      </c>
      <c r="V84" s="11" t="n"/>
      <c r="W84" s="11" t="n"/>
    </row>
    <row r="85">
      <c r="A85" s="44" t="n"/>
      <c r="B85" s="11" t="n"/>
      <c r="C85" s="11" t="n"/>
      <c r="D85" s="11" t="n"/>
      <c r="E85" s="11" t="n"/>
      <c r="F85" s="11" t="n"/>
      <c r="G85" s="55" t="n"/>
      <c r="H85" s="55" t="n"/>
      <c r="I85" s="55" t="n"/>
      <c r="J85" s="56" t="n"/>
      <c r="K85" s="56" t="n"/>
      <c r="L85" s="46">
        <f>K85-J85</f>
        <v/>
      </c>
      <c r="M85" s="47" t="n"/>
      <c r="N85" s="48">
        <f>COUNTIFS(上课记录!$B:$B,A85,上课记录!$J:$J,"是")</f>
        <v/>
      </c>
      <c r="O85" s="31">
        <f>IF(F85="次卡",MAX(0,M85-N85),"—")</f>
        <v/>
      </c>
      <c r="P85" s="31">
        <f>IF(F85="期限卡",MAX(0,I85-TODAY()),"—")</f>
        <v/>
      </c>
      <c r="Q85" s="31">
        <f>IF(A85="","",IF(F85="次卡",IF(OR(K85="",K85=0,M85=0),"",K85/M85),IF(F85="期限卡",IF(AND(K85&lt;&gt;"",K85&lt;&gt;0,I85&gt;H85),K85/(I85-H85),""),"")))</f>
        <v/>
      </c>
      <c r="R85" s="31">
        <f>IF(A85="","",IF(F85="次卡",IF(OR(K85="",K85=0,M85=0),"",Q85*O85),IF(F85="期限卡",IF(AND(K85&lt;&gt;"",K85&lt;&gt;0,I85&gt;H85),Q85*P85,""),"")))</f>
        <v/>
      </c>
      <c r="S85" s="57">
        <f>IF(A85="","",IF(COUNTIFS(上课记录!$B:$B,A85,上课记录!$J:$J,"是")&gt;0,_xlfn.MAXIFS(上课记录!$D:$D,上课记录!$B:$B,A85,上课记录!$J:$J,"是"),IF(H85&gt;0,H85,"未上课")))</f>
        <v/>
      </c>
      <c r="T85" s="31">
        <f>IF(A85="",0,IF(S85="未上课",0,IF(S85="",0,TODAY()-S85)))</f>
        <v/>
      </c>
      <c r="U85" s="31">
        <f>IF(OR(AND(F85="次卡",O85=0),AND(F85="期限卡",P85=0)),"已到期",IF(T85&gt;=10,"沉睡客户",IF(T85&gt;=7,"预警客户",IF(T85=0,IF(A85="","待更新","正常"),"正常"))))</f>
        <v/>
      </c>
      <c r="V85" s="11" t="n"/>
      <c r="W85" s="11" t="n"/>
    </row>
    <row r="86">
      <c r="A86" s="44" t="n"/>
      <c r="B86" s="11" t="n"/>
      <c r="C86" s="11" t="n"/>
      <c r="D86" s="11" t="n"/>
      <c r="E86" s="11" t="n"/>
      <c r="F86" s="11" t="n"/>
      <c r="G86" s="55" t="n"/>
      <c r="H86" s="55" t="n"/>
      <c r="I86" s="55" t="n"/>
      <c r="J86" s="56" t="n"/>
      <c r="K86" s="56" t="n"/>
      <c r="L86" s="46">
        <f>K86-J86</f>
        <v/>
      </c>
      <c r="M86" s="47" t="n"/>
      <c r="N86" s="48">
        <f>COUNTIFS(上课记录!$B:$B,A86,上课记录!$J:$J,"是")</f>
        <v/>
      </c>
      <c r="O86" s="31">
        <f>IF(F86="次卡",MAX(0,M86-N86),"—")</f>
        <v/>
      </c>
      <c r="P86" s="31">
        <f>IF(F86="期限卡",MAX(0,I86-TODAY()),"—")</f>
        <v/>
      </c>
      <c r="Q86" s="31">
        <f>IF(A86="","",IF(F86="次卡",IF(OR(K86="",K86=0,M86=0),"",K86/M86),IF(F86="期限卡",IF(AND(K86&lt;&gt;"",K86&lt;&gt;0,I86&gt;H86),K86/(I86-H86),""),"")))</f>
        <v/>
      </c>
      <c r="R86" s="31">
        <f>IF(A86="","",IF(F86="次卡",IF(OR(K86="",K86=0,M86=0),"",Q86*O86),IF(F86="期限卡",IF(AND(K86&lt;&gt;"",K86&lt;&gt;0,I86&gt;H86),Q86*P86,""),"")))</f>
        <v/>
      </c>
      <c r="S86" s="57">
        <f>IF(A86="","",IF(COUNTIFS(上课记录!$B:$B,A86,上课记录!$J:$J,"是")&gt;0,_xlfn.MAXIFS(上课记录!$D:$D,上课记录!$B:$B,A86,上课记录!$J:$J,"是"),IF(H86&gt;0,H86,"未上课")))</f>
        <v/>
      </c>
      <c r="T86" s="31">
        <f>IF(A86="",0,IF(S86="未上课",0,IF(S86="",0,TODAY()-S86)))</f>
        <v/>
      </c>
      <c r="U86" s="31">
        <f>IF(OR(AND(F86="次卡",O86=0),AND(F86="期限卡",P86=0)),"已到期",IF(T86&gt;=10,"沉睡客户",IF(T86&gt;=7,"预警客户",IF(T86=0,IF(A86="","待更新","正常"),"正常"))))</f>
        <v/>
      </c>
      <c r="V86" s="11" t="n"/>
      <c r="W86" s="11" t="n"/>
    </row>
    <row r="87">
      <c r="A87" s="44" t="n"/>
      <c r="B87" s="11" t="n"/>
      <c r="C87" s="11" t="n"/>
      <c r="D87" s="11" t="n"/>
      <c r="E87" s="11" t="n"/>
      <c r="F87" s="11" t="n"/>
      <c r="G87" s="55" t="n"/>
      <c r="H87" s="55" t="n"/>
      <c r="I87" s="55" t="n"/>
      <c r="J87" s="56" t="n"/>
      <c r="K87" s="56" t="n"/>
      <c r="L87" s="46">
        <f>K87-J87</f>
        <v/>
      </c>
      <c r="M87" s="47" t="n"/>
      <c r="N87" s="48">
        <f>COUNTIFS(上课记录!$B:$B,A87,上课记录!$J:$J,"是")</f>
        <v/>
      </c>
      <c r="O87" s="31">
        <f>IF(F87="次卡",MAX(0,M87-N87),"—")</f>
        <v/>
      </c>
      <c r="P87" s="31">
        <f>IF(F87="期限卡",MAX(0,I87-TODAY()),"—")</f>
        <v/>
      </c>
      <c r="Q87" s="31">
        <f>IF(A87="","",IF(F87="次卡",IF(OR(K87="",K87=0,M87=0),"",K87/M87),IF(F87="期限卡",IF(AND(K87&lt;&gt;"",K87&lt;&gt;0,I87&gt;H87),K87/(I87-H87),""),"")))</f>
        <v/>
      </c>
      <c r="R87" s="31">
        <f>IF(A87="","",IF(F87="次卡",IF(OR(K87="",K87=0,M87=0),"",Q87*O87),IF(F87="期限卡",IF(AND(K87&lt;&gt;"",K87&lt;&gt;0,I87&gt;H87),Q87*P87,""),"")))</f>
        <v/>
      </c>
      <c r="S87" s="57">
        <f>IF(A87="","",IF(COUNTIFS(上课记录!$B:$B,A87,上课记录!$J:$J,"是")&gt;0,_xlfn.MAXIFS(上课记录!$D:$D,上课记录!$B:$B,A87,上课记录!$J:$J,"是"),IF(H87&gt;0,H87,"未上课")))</f>
        <v/>
      </c>
      <c r="T87" s="31">
        <f>IF(A87="",0,IF(S87="未上课",0,IF(S87="",0,TODAY()-S87)))</f>
        <v/>
      </c>
      <c r="U87" s="31">
        <f>IF(OR(AND(F87="次卡",O87=0),AND(F87="期限卡",P87=0)),"已到期",IF(T87&gt;=10,"沉睡客户",IF(T87&gt;=7,"预警客户",IF(T87=0,IF(A87="","待更新","正常"),"正常"))))</f>
        <v/>
      </c>
      <c r="V87" s="11" t="n"/>
      <c r="W87" s="11" t="n"/>
    </row>
    <row r="88">
      <c r="A88" s="44" t="n"/>
      <c r="B88" s="11" t="n"/>
      <c r="C88" s="11" t="n"/>
      <c r="D88" s="11" t="n"/>
      <c r="E88" s="11" t="n"/>
      <c r="F88" s="11" t="n"/>
      <c r="G88" s="55" t="n"/>
      <c r="H88" s="55" t="n"/>
      <c r="I88" s="55" t="n"/>
      <c r="J88" s="56" t="n"/>
      <c r="K88" s="56" t="n"/>
      <c r="L88" s="46">
        <f>K88-J88</f>
        <v/>
      </c>
      <c r="M88" s="47" t="n"/>
      <c r="N88" s="48">
        <f>COUNTIFS(上课记录!$B:$B,A88,上课记录!$J:$J,"是")</f>
        <v/>
      </c>
      <c r="O88" s="31">
        <f>IF(F88="次卡",MAX(0,M88-N88),"—")</f>
        <v/>
      </c>
      <c r="P88" s="31">
        <f>IF(F88="期限卡",MAX(0,I88-TODAY()),"—")</f>
        <v/>
      </c>
      <c r="Q88" s="31">
        <f>IF(A88="","",IF(F88="次卡",IF(OR(K88="",K88=0,M88=0),"",K88/M88),IF(F88="期限卡",IF(AND(K88&lt;&gt;"",K88&lt;&gt;0,I88&gt;H88),K88/(I88-H88),""),"")))</f>
        <v/>
      </c>
      <c r="R88" s="31">
        <f>IF(A88="","",IF(F88="次卡",IF(OR(K88="",K88=0,M88=0),"",Q88*O88),IF(F88="期限卡",IF(AND(K88&lt;&gt;"",K88&lt;&gt;0,I88&gt;H88),Q88*P88,""),"")))</f>
        <v/>
      </c>
      <c r="S88" s="57">
        <f>IF(A88="","",IF(COUNTIFS(上课记录!$B:$B,A88,上课记录!$J:$J,"是")&gt;0,_xlfn.MAXIFS(上课记录!$D:$D,上课记录!$B:$B,A88,上课记录!$J:$J,"是"),IF(H88&gt;0,H88,"未上课")))</f>
        <v/>
      </c>
      <c r="T88" s="31">
        <f>IF(A88="",0,IF(S88="未上课",0,IF(S88="",0,TODAY()-S88)))</f>
        <v/>
      </c>
      <c r="U88" s="31">
        <f>IF(OR(AND(F88="次卡",O88=0),AND(F88="期限卡",P88=0)),"已到期",IF(T88&gt;=10,"沉睡客户",IF(T88&gt;=7,"预警客户",IF(T88=0,IF(A88="","待更新","正常"),"正常"))))</f>
        <v/>
      </c>
      <c r="V88" s="11" t="n"/>
      <c r="W88" s="11" t="n"/>
    </row>
    <row r="89">
      <c r="A89" s="44" t="n"/>
      <c r="B89" s="11" t="n"/>
      <c r="C89" s="11" t="n"/>
      <c r="D89" s="11" t="n"/>
      <c r="E89" s="11" t="n"/>
      <c r="F89" s="11" t="n"/>
      <c r="G89" s="55" t="n"/>
      <c r="H89" s="55" t="n"/>
      <c r="I89" s="55" t="n"/>
      <c r="J89" s="56" t="n"/>
      <c r="K89" s="56" t="n"/>
      <c r="L89" s="46">
        <f>K89-J89</f>
        <v/>
      </c>
      <c r="M89" s="47" t="n"/>
      <c r="N89" s="48">
        <f>COUNTIFS(上课记录!$B:$B,A89,上课记录!$J:$J,"是")</f>
        <v/>
      </c>
      <c r="O89" s="31">
        <f>IF(F89="次卡",MAX(0,M89-N89),"—")</f>
        <v/>
      </c>
      <c r="P89" s="31">
        <f>IF(F89="期限卡",MAX(0,I89-TODAY()),"—")</f>
        <v/>
      </c>
      <c r="Q89" s="31">
        <f>IF(A89="","",IF(F89="次卡",IF(OR(K89="",K89=0,M89=0),"",K89/M89),IF(F89="期限卡",IF(AND(K89&lt;&gt;"",K89&lt;&gt;0,I89&gt;H89),K89/(I89-H89),""),"")))</f>
        <v/>
      </c>
      <c r="R89" s="31">
        <f>IF(A89="","",IF(F89="次卡",IF(OR(K89="",K89=0,M89=0),"",Q89*O89),IF(F89="期限卡",IF(AND(K89&lt;&gt;"",K89&lt;&gt;0,I89&gt;H89),Q89*P89,""),"")))</f>
        <v/>
      </c>
      <c r="S89" s="57">
        <f>IF(A89="","",IF(COUNTIFS(上课记录!$B:$B,A89,上课记录!$J:$J,"是")&gt;0,_xlfn.MAXIFS(上课记录!$D:$D,上课记录!$B:$B,A89,上课记录!$J:$J,"是"),IF(H89&gt;0,H89,"未上课")))</f>
        <v/>
      </c>
      <c r="T89" s="31">
        <f>IF(A89="",0,IF(S89="未上课",0,IF(S89="",0,TODAY()-S89)))</f>
        <v/>
      </c>
      <c r="U89" s="31">
        <f>IF(OR(AND(F89="次卡",O89=0),AND(F89="期限卡",P89=0)),"已到期",IF(T89&gt;=10,"沉睡客户",IF(T89&gt;=7,"预警客户",IF(T89=0,IF(A89="","待更新","正常"),"正常"))))</f>
        <v/>
      </c>
      <c r="V89" s="11" t="n"/>
      <c r="W89" s="11" t="n"/>
    </row>
    <row r="90">
      <c r="A90" s="44" t="n"/>
      <c r="B90" s="11" t="n"/>
      <c r="C90" s="11" t="n"/>
      <c r="D90" s="11" t="n"/>
      <c r="E90" s="11" t="n"/>
      <c r="F90" s="11" t="n"/>
      <c r="G90" s="55" t="n"/>
      <c r="H90" s="55" t="n"/>
      <c r="I90" s="55" t="n"/>
      <c r="J90" s="56" t="n"/>
      <c r="K90" s="56" t="n"/>
      <c r="L90" s="46">
        <f>K90-J90</f>
        <v/>
      </c>
      <c r="M90" s="47" t="n"/>
      <c r="N90" s="48">
        <f>COUNTIFS(上课记录!$B:$B,A90,上课记录!$J:$J,"是")</f>
        <v/>
      </c>
      <c r="O90" s="31">
        <f>IF(F90="次卡",MAX(0,M90-N90),"—")</f>
        <v/>
      </c>
      <c r="P90" s="31">
        <f>IF(F90="期限卡",MAX(0,I90-TODAY()),"—")</f>
        <v/>
      </c>
      <c r="Q90" s="31">
        <f>IF(A90="","",IF(F90="次卡",IF(OR(K90="",K90=0,M90=0),"",K90/M90),IF(F90="期限卡",IF(AND(K90&lt;&gt;"",K90&lt;&gt;0,I90&gt;H90),K90/(I90-H90),""),"")))</f>
        <v/>
      </c>
      <c r="R90" s="31">
        <f>IF(A90="","",IF(F90="次卡",IF(OR(K90="",K90=0,M90=0),"",Q90*O90),IF(F90="期限卡",IF(AND(K90&lt;&gt;"",K90&lt;&gt;0,I90&gt;H90),Q90*P90,""),"")))</f>
        <v/>
      </c>
      <c r="S90" s="57">
        <f>IF(A90="","",IF(COUNTIFS(上课记录!$B:$B,A90,上课记录!$J:$J,"是")&gt;0,_xlfn.MAXIFS(上课记录!$D:$D,上课记录!$B:$B,A90,上课记录!$J:$J,"是"),IF(H90&gt;0,H90,"未上课")))</f>
        <v/>
      </c>
      <c r="T90" s="31">
        <f>IF(A90="",0,IF(S90="未上课",0,IF(S90="",0,TODAY()-S90)))</f>
        <v/>
      </c>
      <c r="U90" s="31">
        <f>IF(OR(AND(F90="次卡",O90=0),AND(F90="期限卡",P90=0)),"已到期",IF(T90&gt;=10,"沉睡客户",IF(T90&gt;=7,"预警客户",IF(T90=0,IF(A90="","待更新","正常"),"正常"))))</f>
        <v/>
      </c>
      <c r="V90" s="11" t="n"/>
      <c r="W90" s="11" t="n"/>
    </row>
    <row r="91">
      <c r="A91" s="44" t="n"/>
      <c r="B91" s="11" t="n"/>
      <c r="C91" s="11" t="n"/>
      <c r="D91" s="11" t="n"/>
      <c r="E91" s="11" t="n"/>
      <c r="F91" s="11" t="n"/>
      <c r="G91" s="55" t="n"/>
      <c r="H91" s="55" t="n"/>
      <c r="I91" s="55" t="n"/>
      <c r="J91" s="56" t="n"/>
      <c r="K91" s="56" t="n"/>
      <c r="L91" s="46">
        <f>K91-J91</f>
        <v/>
      </c>
      <c r="M91" s="47" t="n"/>
      <c r="N91" s="48">
        <f>COUNTIFS(上课记录!$B:$B,A91,上课记录!$J:$J,"是")</f>
        <v/>
      </c>
      <c r="O91" s="31">
        <f>IF(F91="次卡",MAX(0,M91-N91),"—")</f>
        <v/>
      </c>
      <c r="P91" s="31">
        <f>IF(F91="期限卡",MAX(0,I91-TODAY()),"—")</f>
        <v/>
      </c>
      <c r="Q91" s="31">
        <f>IF(A91="","",IF(F91="次卡",IF(OR(K91="",K91=0,M91=0),"",K91/M91),IF(F91="期限卡",IF(AND(K91&lt;&gt;"",K91&lt;&gt;0,I91&gt;H91),K91/(I91-H91),""),"")))</f>
        <v/>
      </c>
      <c r="R91" s="31">
        <f>IF(A91="","",IF(F91="次卡",IF(OR(K91="",K91=0,M91=0),"",Q91*O91),IF(F91="期限卡",IF(AND(K91&lt;&gt;"",K91&lt;&gt;0,I91&gt;H91),Q91*P91,""),"")))</f>
        <v/>
      </c>
      <c r="S91" s="57">
        <f>IF(A91="","",IF(COUNTIFS(上课记录!$B:$B,A91,上课记录!$J:$J,"是")&gt;0,_xlfn.MAXIFS(上课记录!$D:$D,上课记录!$B:$B,A91,上课记录!$J:$J,"是"),IF(H91&gt;0,H91,"未上课")))</f>
        <v/>
      </c>
      <c r="T91" s="31">
        <f>IF(A91="",0,IF(S91="未上课",0,IF(S91="",0,TODAY()-S91)))</f>
        <v/>
      </c>
      <c r="U91" s="31">
        <f>IF(OR(AND(F91="次卡",O91=0),AND(F91="期限卡",P91=0)),"已到期",IF(T91&gt;=10,"沉睡客户",IF(T91&gt;=7,"预警客户",IF(T91=0,IF(A91="","待更新","正常"),"正常"))))</f>
        <v/>
      </c>
      <c r="V91" s="11" t="n"/>
      <c r="W91" s="11" t="n"/>
    </row>
    <row r="92">
      <c r="A92" s="44" t="n"/>
      <c r="B92" s="11" t="n"/>
      <c r="C92" s="11" t="n"/>
      <c r="D92" s="11" t="n"/>
      <c r="E92" s="11" t="n"/>
      <c r="F92" s="11" t="n"/>
      <c r="G92" s="55" t="n"/>
      <c r="H92" s="55" t="n"/>
      <c r="I92" s="55" t="n"/>
      <c r="J92" s="56" t="n"/>
      <c r="K92" s="56" t="n"/>
      <c r="L92" s="46">
        <f>K92-J92</f>
        <v/>
      </c>
      <c r="M92" s="47" t="n"/>
      <c r="N92" s="48">
        <f>COUNTIFS(上课记录!$B:$B,A92,上课记录!$J:$J,"是")</f>
        <v/>
      </c>
      <c r="O92" s="31">
        <f>IF(F92="次卡",MAX(0,M92-N92),"—")</f>
        <v/>
      </c>
      <c r="P92" s="31">
        <f>IF(F92="期限卡",MAX(0,I92-TODAY()),"—")</f>
        <v/>
      </c>
      <c r="Q92" s="31">
        <f>IF(A92="","",IF(F92="次卡",IF(OR(K92="",K92=0,M92=0),"",K92/M92),IF(F92="期限卡",IF(AND(K92&lt;&gt;"",K92&lt;&gt;0,I92&gt;H92),K92/(I92-H92),""),"")))</f>
        <v/>
      </c>
      <c r="R92" s="31">
        <f>IF(A92="","",IF(F92="次卡",IF(OR(K92="",K92=0,M92=0),"",Q92*O92),IF(F92="期限卡",IF(AND(K92&lt;&gt;"",K92&lt;&gt;0,I92&gt;H92),Q92*P92,""),"")))</f>
        <v/>
      </c>
      <c r="S92" s="57">
        <f>IF(A92="","",IF(COUNTIFS(上课记录!$B:$B,A92,上课记录!$J:$J,"是")&gt;0,_xlfn.MAXIFS(上课记录!$D:$D,上课记录!$B:$B,A92,上课记录!$J:$J,"是"),IF(H92&gt;0,H92,"未上课")))</f>
        <v/>
      </c>
      <c r="T92" s="31">
        <f>IF(A92="",0,IF(S92="未上课",0,IF(S92="",0,TODAY()-S92)))</f>
        <v/>
      </c>
      <c r="U92" s="31">
        <f>IF(OR(AND(F92="次卡",O92=0),AND(F92="期限卡",P92=0)),"已到期",IF(T92&gt;=10,"沉睡客户",IF(T92&gt;=7,"预警客户",IF(T92=0,IF(A92="","待更新","正常"),"正常"))))</f>
        <v/>
      </c>
      <c r="V92" s="11" t="n"/>
      <c r="W92" s="11" t="n"/>
    </row>
    <row r="93">
      <c r="A93" s="44" t="n"/>
      <c r="B93" s="11" t="n"/>
      <c r="C93" s="11" t="n"/>
      <c r="D93" s="11" t="n"/>
      <c r="E93" s="11" t="n"/>
      <c r="F93" s="11" t="n"/>
      <c r="G93" s="55" t="n"/>
      <c r="H93" s="55" t="n"/>
      <c r="I93" s="55" t="n"/>
      <c r="J93" s="56" t="n"/>
      <c r="K93" s="56" t="n"/>
      <c r="L93" s="46">
        <f>K93-J93</f>
        <v/>
      </c>
      <c r="M93" s="47" t="n"/>
      <c r="N93" s="48">
        <f>COUNTIFS(上课记录!$B:$B,A93,上课记录!$J:$J,"是")</f>
        <v/>
      </c>
      <c r="O93" s="31">
        <f>IF(F93="次卡",MAX(0,M93-N93),"—")</f>
        <v/>
      </c>
      <c r="P93" s="31">
        <f>IF(F93="期限卡",MAX(0,I93-TODAY()),"—")</f>
        <v/>
      </c>
      <c r="Q93" s="31">
        <f>IF(A93="","",IF(F93="次卡",IF(OR(K93="",K93=0,M93=0),"",K93/M93),IF(F93="期限卡",IF(AND(K93&lt;&gt;"",K93&lt;&gt;0,I93&gt;H93),K93/(I93-H93),""),"")))</f>
        <v/>
      </c>
      <c r="R93" s="31">
        <f>IF(A93="","",IF(F93="次卡",IF(OR(K93="",K93=0,M93=0),"",Q93*O93),IF(F93="期限卡",IF(AND(K93&lt;&gt;"",K93&lt;&gt;0,I93&gt;H93),Q93*P93,""),"")))</f>
        <v/>
      </c>
      <c r="S93" s="57">
        <f>IF(A93="","",IF(COUNTIFS(上课记录!$B:$B,A93,上课记录!$J:$J,"是")&gt;0,_xlfn.MAXIFS(上课记录!$D:$D,上课记录!$B:$B,A93,上课记录!$J:$J,"是"),IF(H93&gt;0,H93,"未上课")))</f>
        <v/>
      </c>
      <c r="T93" s="31">
        <f>IF(A93="",0,IF(S93="未上课",0,IF(S93="",0,TODAY()-S93)))</f>
        <v/>
      </c>
      <c r="U93" s="31">
        <f>IF(OR(AND(F93="次卡",O93=0),AND(F93="期限卡",P93=0)),"已到期",IF(T93&gt;=10,"沉睡客户",IF(T93&gt;=7,"预警客户",IF(T93=0,IF(A93="","待更新","正常"),"正常"))))</f>
        <v/>
      </c>
      <c r="V93" s="11" t="n"/>
      <c r="W93" s="11" t="n"/>
    </row>
    <row r="94">
      <c r="A94" s="44" t="n"/>
      <c r="B94" s="11" t="n"/>
      <c r="C94" s="11" t="n"/>
      <c r="D94" s="11" t="n"/>
      <c r="E94" s="11" t="n"/>
      <c r="F94" s="11" t="n"/>
      <c r="G94" s="55" t="n"/>
      <c r="H94" s="55" t="n"/>
      <c r="I94" s="55" t="n"/>
      <c r="J94" s="56" t="n"/>
      <c r="K94" s="56" t="n"/>
      <c r="L94" s="46">
        <f>K94-J94</f>
        <v/>
      </c>
      <c r="M94" s="47" t="n"/>
      <c r="N94" s="48">
        <f>COUNTIFS(上课记录!$B:$B,A94,上课记录!$J:$J,"是")</f>
        <v/>
      </c>
      <c r="O94" s="31">
        <f>IF(F94="次卡",MAX(0,M94-N94),"—")</f>
        <v/>
      </c>
      <c r="P94" s="31">
        <f>IF(F94="期限卡",MAX(0,I94-TODAY()),"—")</f>
        <v/>
      </c>
      <c r="Q94" s="31">
        <f>IF(A94="","",IF(F94="次卡",IF(OR(K94="",K94=0,M94=0),"",K94/M94),IF(F94="期限卡",IF(AND(K94&lt;&gt;"",K94&lt;&gt;0,I94&gt;H94),K94/(I94-H94),""),"")))</f>
        <v/>
      </c>
      <c r="R94" s="31">
        <f>IF(A94="","",IF(F94="次卡",IF(OR(K94="",K94=0,M94=0),"",Q94*O94),IF(F94="期限卡",IF(AND(K94&lt;&gt;"",K94&lt;&gt;0,I94&gt;H94),Q94*P94,""),"")))</f>
        <v/>
      </c>
      <c r="S94" s="57">
        <f>IF(A94="","",IF(COUNTIFS(上课记录!$B:$B,A94,上课记录!$J:$J,"是")&gt;0,_xlfn.MAXIFS(上课记录!$D:$D,上课记录!$B:$B,A94,上课记录!$J:$J,"是"),IF(H94&gt;0,H94,"未上课")))</f>
        <v/>
      </c>
      <c r="T94" s="31">
        <f>IF(A94="",0,IF(S94="未上课",0,IF(S94="",0,TODAY()-S94)))</f>
        <v/>
      </c>
      <c r="U94" s="31">
        <f>IF(OR(AND(F94="次卡",O94=0),AND(F94="期限卡",P94=0)),"已到期",IF(T94&gt;=10,"沉睡客户",IF(T94&gt;=7,"预警客户",IF(T94=0,IF(A94="","待更新","正常"),"正常"))))</f>
        <v/>
      </c>
      <c r="V94" s="11" t="n"/>
      <c r="W94" s="11" t="n"/>
    </row>
    <row r="95">
      <c r="A95" s="44" t="n"/>
      <c r="B95" s="11" t="n"/>
      <c r="C95" s="11" t="n"/>
      <c r="D95" s="11" t="n"/>
      <c r="E95" s="11" t="n"/>
      <c r="F95" s="11" t="n"/>
      <c r="G95" s="55" t="n"/>
      <c r="H95" s="55" t="n"/>
      <c r="I95" s="55" t="n"/>
      <c r="J95" s="56" t="n"/>
      <c r="K95" s="56" t="n"/>
      <c r="L95" s="46">
        <f>K95-J95</f>
        <v/>
      </c>
      <c r="M95" s="47" t="n"/>
      <c r="N95" s="48">
        <f>COUNTIFS(上课记录!$B:$B,A95,上课记录!$J:$J,"是")</f>
        <v/>
      </c>
      <c r="O95" s="31">
        <f>IF(F95="次卡",MAX(0,M95-N95),"—")</f>
        <v/>
      </c>
      <c r="P95" s="31">
        <f>IF(F95="期限卡",MAX(0,I95-TODAY()),"—")</f>
        <v/>
      </c>
      <c r="Q95" s="31">
        <f>IF(A95="","",IF(F95="次卡",IF(OR(K95="",K95=0,M95=0),"",K95/M95),IF(F95="期限卡",IF(AND(K95&lt;&gt;"",K95&lt;&gt;0,I95&gt;H95),K95/(I95-H95),""),"")))</f>
        <v/>
      </c>
      <c r="R95" s="31">
        <f>IF(A95="","",IF(F95="次卡",IF(OR(K95="",K95=0,M95=0),"",Q95*O95),IF(F95="期限卡",IF(AND(K95&lt;&gt;"",K95&lt;&gt;0,I95&gt;H95),Q95*P95,""),"")))</f>
        <v/>
      </c>
      <c r="S95" s="57">
        <f>IF(A95="","",IF(COUNTIFS(上课记录!$B:$B,A95,上课记录!$J:$J,"是")&gt;0,_xlfn.MAXIFS(上课记录!$D:$D,上课记录!$B:$B,A95,上课记录!$J:$J,"是"),IF(H95&gt;0,H95,"未上课")))</f>
        <v/>
      </c>
      <c r="T95" s="31">
        <f>IF(A95="",0,IF(S95="未上课",0,IF(S95="",0,TODAY()-S95)))</f>
        <v/>
      </c>
      <c r="U95" s="31">
        <f>IF(OR(AND(F95="次卡",O95=0),AND(F95="期限卡",P95=0)),"已到期",IF(T95&gt;=10,"沉睡客户",IF(T95&gt;=7,"预警客户",IF(T95=0,IF(A95="","待更新","正常"),"正常"))))</f>
        <v/>
      </c>
      <c r="V95" s="11" t="n"/>
      <c r="W95" s="11" t="n"/>
    </row>
    <row r="96">
      <c r="A96" s="44" t="n"/>
      <c r="B96" s="11" t="n"/>
      <c r="C96" s="11" t="n"/>
      <c r="D96" s="11" t="n"/>
      <c r="E96" s="11" t="n"/>
      <c r="F96" s="11" t="n"/>
      <c r="G96" s="55" t="n"/>
      <c r="H96" s="55" t="n"/>
      <c r="I96" s="55" t="n"/>
      <c r="J96" s="56" t="n"/>
      <c r="K96" s="56" t="n"/>
      <c r="L96" s="46">
        <f>K96-J96</f>
        <v/>
      </c>
      <c r="M96" s="47" t="n"/>
      <c r="N96" s="48">
        <f>COUNTIFS(上课记录!$B:$B,A96,上课记录!$J:$J,"是")</f>
        <v/>
      </c>
      <c r="O96" s="31">
        <f>IF(F96="次卡",MAX(0,M96-N96),"—")</f>
        <v/>
      </c>
      <c r="P96" s="31">
        <f>IF(F96="期限卡",MAX(0,I96-TODAY()),"—")</f>
        <v/>
      </c>
      <c r="Q96" s="31">
        <f>IF(A96="","",IF(F96="次卡",IF(OR(K96="",K96=0,M96=0),"",K96/M96),IF(F96="期限卡",IF(AND(K96&lt;&gt;"",K96&lt;&gt;0,I96&gt;H96),K96/(I96-H96),""),"")))</f>
        <v/>
      </c>
      <c r="R96" s="31">
        <f>IF(A96="","",IF(F96="次卡",IF(OR(K96="",K96=0,M96=0),"",Q96*O96),IF(F96="期限卡",IF(AND(K96&lt;&gt;"",K96&lt;&gt;0,I96&gt;H96),Q96*P96,""),"")))</f>
        <v/>
      </c>
      <c r="S96" s="57">
        <f>IF(A96="","",IF(COUNTIFS(上课记录!$B:$B,A96,上课记录!$J:$J,"是")&gt;0,_xlfn.MAXIFS(上课记录!$D:$D,上课记录!$B:$B,A96,上课记录!$J:$J,"是"),IF(H96&gt;0,H96,"未上课")))</f>
        <v/>
      </c>
      <c r="T96" s="31">
        <f>IF(A96="",0,IF(S96="未上课",0,IF(S96="",0,TODAY()-S96)))</f>
        <v/>
      </c>
      <c r="U96" s="31">
        <f>IF(OR(AND(F96="次卡",O96=0),AND(F96="期限卡",P96=0)),"已到期",IF(T96&gt;=10,"沉睡客户",IF(T96&gt;=7,"预警客户",IF(T96=0,IF(A96="","待更新","正常"),"正常"))))</f>
        <v/>
      </c>
      <c r="V96" s="11" t="n"/>
      <c r="W96" s="11" t="n"/>
    </row>
    <row r="97">
      <c r="A97" s="44" t="n"/>
      <c r="B97" s="11" t="n"/>
      <c r="C97" s="11" t="n"/>
      <c r="D97" s="11" t="n"/>
      <c r="E97" s="11" t="n"/>
      <c r="F97" s="11" t="n"/>
      <c r="G97" s="55" t="n"/>
      <c r="H97" s="55" t="n"/>
      <c r="I97" s="55" t="n"/>
      <c r="J97" s="56" t="n"/>
      <c r="K97" s="56" t="n"/>
      <c r="L97" s="46">
        <f>K97-J97</f>
        <v/>
      </c>
      <c r="M97" s="47" t="n"/>
      <c r="N97" s="48">
        <f>COUNTIFS(上课记录!$B:$B,A97,上课记录!$J:$J,"是")</f>
        <v/>
      </c>
      <c r="O97" s="31">
        <f>IF(F97="次卡",MAX(0,M97-N97),"—")</f>
        <v/>
      </c>
      <c r="P97" s="31">
        <f>IF(F97="期限卡",MAX(0,I97-TODAY()),"—")</f>
        <v/>
      </c>
      <c r="Q97" s="31">
        <f>IF(A97="","",IF(F97="次卡",IF(OR(K97="",K97=0,M97=0),"",K97/M97),IF(F97="期限卡",IF(AND(K97&lt;&gt;"",K97&lt;&gt;0,I97&gt;H97),K97/(I97-H97),""),"")))</f>
        <v/>
      </c>
      <c r="R97" s="31">
        <f>IF(A97="","",IF(F97="次卡",IF(OR(K97="",K97=0,M97=0),"",Q97*O97),IF(F97="期限卡",IF(AND(K97&lt;&gt;"",K97&lt;&gt;0,I97&gt;H97),Q97*P97,""),"")))</f>
        <v/>
      </c>
      <c r="S97" s="57">
        <f>IF(A97="","",IF(COUNTIFS(上课记录!$B:$B,A97,上课记录!$J:$J,"是")&gt;0,_xlfn.MAXIFS(上课记录!$D:$D,上课记录!$B:$B,A97,上课记录!$J:$J,"是"),IF(H97&gt;0,H97,"未上课")))</f>
        <v/>
      </c>
      <c r="T97" s="31">
        <f>IF(A97="",0,IF(S97="未上课",0,IF(S97="",0,TODAY()-S97)))</f>
        <v/>
      </c>
      <c r="U97" s="31">
        <f>IF(OR(AND(F97="次卡",O97=0),AND(F97="期限卡",P97=0)),"已到期",IF(T97&gt;=10,"沉睡客户",IF(T97&gt;=7,"预警客户",IF(T97=0,IF(A97="","待更新","正常"),"正常"))))</f>
        <v/>
      </c>
      <c r="V97" s="11" t="n"/>
      <c r="W97" s="11" t="n"/>
    </row>
    <row r="98">
      <c r="A98" s="44" t="n"/>
      <c r="B98" s="11" t="n"/>
      <c r="C98" s="11" t="n"/>
      <c r="D98" s="11" t="n"/>
      <c r="E98" s="11" t="n"/>
      <c r="F98" s="11" t="n"/>
      <c r="G98" s="55" t="n"/>
      <c r="H98" s="55" t="n"/>
      <c r="I98" s="55" t="n"/>
      <c r="J98" s="56" t="n"/>
      <c r="K98" s="56" t="n"/>
      <c r="L98" s="46">
        <f>K98-J98</f>
        <v/>
      </c>
      <c r="M98" s="47" t="n"/>
      <c r="N98" s="48">
        <f>COUNTIFS(上课记录!$B:$B,A98,上课记录!$J:$J,"是")</f>
        <v/>
      </c>
      <c r="O98" s="31">
        <f>IF(F98="次卡",MAX(0,M98-N98),"—")</f>
        <v/>
      </c>
      <c r="P98" s="31">
        <f>IF(F98="期限卡",MAX(0,I98-TODAY()),"—")</f>
        <v/>
      </c>
      <c r="Q98" s="31">
        <f>IF(A98="","",IF(F98="次卡",IF(OR(K98="",K98=0,M98=0),"",K98/M98),IF(F98="期限卡",IF(AND(K98&lt;&gt;"",K98&lt;&gt;0,I98&gt;H98),K98/(I98-H98),""),"")))</f>
        <v/>
      </c>
      <c r="R98" s="31">
        <f>IF(A98="","",IF(F98="次卡",IF(OR(K98="",K98=0,M98=0),"",Q98*O98),IF(F98="期限卡",IF(AND(K98&lt;&gt;"",K98&lt;&gt;0,I98&gt;H98),Q98*P98,""),"")))</f>
        <v/>
      </c>
      <c r="S98" s="57">
        <f>IF(A98="","",IF(COUNTIFS(上课记录!$B:$B,A98,上课记录!$J:$J,"是")&gt;0,_xlfn.MAXIFS(上课记录!$D:$D,上课记录!$B:$B,A98,上课记录!$J:$J,"是"),IF(H98&gt;0,H98,"未上课")))</f>
        <v/>
      </c>
      <c r="T98" s="31">
        <f>IF(A98="",0,IF(S98="未上课",0,IF(S98="",0,TODAY()-S98)))</f>
        <v/>
      </c>
      <c r="U98" s="31">
        <f>IF(OR(AND(F98="次卡",O98=0),AND(F98="期限卡",P98=0)),"已到期",IF(T98&gt;=10,"沉睡客户",IF(T98&gt;=7,"预警客户",IF(T98=0,IF(A98="","待更新","正常"),"正常"))))</f>
        <v/>
      </c>
      <c r="V98" s="11" t="n"/>
      <c r="W98" s="11" t="n"/>
    </row>
    <row r="99">
      <c r="A99" s="44" t="n"/>
      <c r="B99" s="11" t="n"/>
      <c r="C99" s="11" t="n"/>
      <c r="D99" s="11" t="n"/>
      <c r="E99" s="11" t="n"/>
      <c r="F99" s="11" t="n"/>
      <c r="G99" s="55" t="n"/>
      <c r="H99" s="55" t="n"/>
      <c r="I99" s="55" t="n"/>
      <c r="J99" s="56" t="n"/>
      <c r="K99" s="56" t="n"/>
      <c r="L99" s="46">
        <f>K99-J99</f>
        <v/>
      </c>
      <c r="M99" s="47" t="n"/>
      <c r="N99" s="48">
        <f>COUNTIFS(上课记录!$B:$B,A99,上课记录!$J:$J,"是")</f>
        <v/>
      </c>
      <c r="O99" s="31">
        <f>IF(F99="次卡",MAX(0,M99-N99),"—")</f>
        <v/>
      </c>
      <c r="P99" s="31">
        <f>IF(F99="期限卡",MAX(0,I99-TODAY()),"—")</f>
        <v/>
      </c>
      <c r="Q99" s="31">
        <f>IF(A99="","",IF(F99="次卡",IF(OR(K99="",K99=0,M99=0),"",K99/M99),IF(F99="期限卡",IF(AND(K99&lt;&gt;"",K99&lt;&gt;0,I99&gt;H99),K99/(I99-H99),""),"")))</f>
        <v/>
      </c>
      <c r="R99" s="31">
        <f>IF(A99="","",IF(F99="次卡",IF(OR(K99="",K99=0,M99=0),"",Q99*O99),IF(F99="期限卡",IF(AND(K99&lt;&gt;"",K99&lt;&gt;0,I99&gt;H99),Q99*P99,""),"")))</f>
        <v/>
      </c>
      <c r="S99" s="57">
        <f>IF(A99="","",IF(COUNTIFS(上课记录!$B:$B,A99,上课记录!$J:$J,"是")&gt;0,_xlfn.MAXIFS(上课记录!$D:$D,上课记录!$B:$B,A99,上课记录!$J:$J,"是"),IF(H99&gt;0,H99,"未上课")))</f>
        <v/>
      </c>
      <c r="T99" s="31">
        <f>IF(A99="",0,IF(S99="未上课",0,IF(S99="",0,TODAY()-S99)))</f>
        <v/>
      </c>
      <c r="U99" s="31">
        <f>IF(OR(AND(F99="次卡",O99=0),AND(F99="期限卡",P99=0)),"已到期",IF(T99&gt;=10,"沉睡客户",IF(T99&gt;=7,"预警客户",IF(T99=0,IF(A99="","待更新","正常"),"正常"))))</f>
        <v/>
      </c>
      <c r="V99" s="11" t="n"/>
      <c r="W99" s="11" t="n"/>
    </row>
    <row r="100">
      <c r="A100" s="44" t="n"/>
      <c r="B100" s="11" t="n"/>
      <c r="C100" s="11" t="n"/>
      <c r="D100" s="11" t="n"/>
      <c r="E100" s="11" t="n"/>
      <c r="F100" s="11" t="n"/>
      <c r="G100" s="55" t="n"/>
      <c r="H100" s="55" t="n"/>
      <c r="I100" s="55" t="n"/>
      <c r="J100" s="56" t="n"/>
      <c r="K100" s="56" t="n"/>
      <c r="L100" s="46">
        <f>K100-J100</f>
        <v/>
      </c>
      <c r="M100" s="47" t="n"/>
      <c r="N100" s="48">
        <f>COUNTIFS(上课记录!$B:$B,A100,上课记录!$J:$J,"是")</f>
        <v/>
      </c>
      <c r="O100" s="31">
        <f>IF(F100="次卡",MAX(0,M100-N100),"—")</f>
        <v/>
      </c>
      <c r="P100" s="31">
        <f>IF(F100="期限卡",MAX(0,I100-TODAY()),"—")</f>
        <v/>
      </c>
      <c r="Q100" s="31">
        <f>IF(A100="","",IF(F100="次卡",IF(OR(K100="",K100=0,M100=0),"",K100/M100),IF(F100="期限卡",IF(AND(K100&lt;&gt;"",K100&lt;&gt;0,I100&gt;H100),K100/(I100-H100),""),"")))</f>
        <v/>
      </c>
      <c r="R100" s="31">
        <f>IF(A100="","",IF(F100="次卡",IF(OR(K100="",K100=0,M100=0),"",Q100*O100),IF(F100="期限卡",IF(AND(K100&lt;&gt;"",K100&lt;&gt;0,I100&gt;H100),Q100*P100,""),"")))</f>
        <v/>
      </c>
      <c r="S100" s="57">
        <f>IF(A100="","",IF(COUNTIFS(上课记录!$B:$B,A100,上课记录!$J:$J,"是")&gt;0,_xlfn.MAXIFS(上课记录!$D:$D,上课记录!$B:$B,A100,上课记录!$J:$J,"是"),IF(H100&gt;0,H100,"未上课")))</f>
        <v/>
      </c>
      <c r="T100" s="31">
        <f>IF(A100="",0,IF(S100="未上课",0,IF(S100="",0,TODAY()-S100)))</f>
        <v/>
      </c>
      <c r="U100" s="31">
        <f>IF(OR(AND(F100="次卡",O100=0),AND(F100="期限卡",P100=0)),"已到期",IF(T100&gt;=10,"沉睡客户",IF(T100&gt;=7,"预警客户",IF(T100=0,IF(A100="","待更新","正常"),"正常"))))</f>
        <v/>
      </c>
      <c r="V100" s="11" t="n"/>
      <c r="W100" s="11" t="n"/>
    </row>
    <row r="101">
      <c r="A101" s="44" t="n"/>
      <c r="B101" s="11" t="n"/>
      <c r="C101" s="11" t="n"/>
      <c r="D101" s="11" t="n"/>
      <c r="E101" s="11" t="n"/>
      <c r="F101" s="11" t="n"/>
      <c r="G101" s="55" t="n"/>
      <c r="H101" s="55" t="n"/>
      <c r="I101" s="55" t="n"/>
      <c r="J101" s="56" t="n"/>
      <c r="K101" s="56" t="n"/>
      <c r="L101" s="46">
        <f>K101-J101</f>
        <v/>
      </c>
      <c r="M101" s="47" t="n"/>
      <c r="N101" s="48">
        <f>COUNTIFS(上课记录!$B:$B,A101,上课记录!$J:$J,"是")</f>
        <v/>
      </c>
      <c r="O101" s="31">
        <f>IF(F101="次卡",MAX(0,M101-N101),"—")</f>
        <v/>
      </c>
      <c r="P101" s="31">
        <f>IF(F101="期限卡",MAX(0,I101-TODAY()),"—")</f>
        <v/>
      </c>
      <c r="Q101" s="31">
        <f>IF(A101="","",IF(F101="次卡",IF(OR(K101="",K101=0,M101=0),"",K101/M101),IF(F101="期限卡",IF(AND(K101&lt;&gt;"",K101&lt;&gt;0,I101&gt;H101),K101/(I101-H101),""),"")))</f>
        <v/>
      </c>
      <c r="R101" s="31">
        <f>IF(A101="","",IF(F101="次卡",IF(OR(K101="",K101=0,M101=0),"",Q101*O101),IF(F101="期限卡",IF(AND(K101&lt;&gt;"",K101&lt;&gt;0,I101&gt;H101),Q101*P101,""),"")))</f>
        <v/>
      </c>
      <c r="S101" s="57">
        <f>IF(A101="","",IF(COUNTIFS(上课记录!$B:$B,A101,上课记录!$J:$J,"是")&gt;0,_xlfn.MAXIFS(上课记录!$D:$D,上课记录!$B:$B,A101,上课记录!$J:$J,"是"),IF(H101&gt;0,H101,"未上课")))</f>
        <v/>
      </c>
      <c r="T101" s="31">
        <f>IF(A101="",0,IF(S101="未上课",0,IF(S101="",0,TODAY()-S101)))</f>
        <v/>
      </c>
      <c r="U101" s="31">
        <f>IF(OR(AND(F101="次卡",O101=0),AND(F101="期限卡",P101=0)),"已到期",IF(T101&gt;=10,"沉睡客户",IF(T101&gt;=7,"预警客户",IF(T101=0,IF(A101="","待更新","正常"),"正常"))))</f>
        <v/>
      </c>
      <c r="V101" s="11" t="n"/>
      <c r="W101" s="11" t="n"/>
    </row>
    <row r="102">
      <c r="A102" s="44" t="n"/>
      <c r="B102" s="11" t="n"/>
      <c r="C102" s="11" t="n"/>
      <c r="D102" s="11" t="n"/>
      <c r="E102" s="11" t="n"/>
      <c r="F102" s="11" t="n"/>
      <c r="G102" s="55" t="n"/>
      <c r="H102" s="55" t="n"/>
      <c r="I102" s="55" t="n"/>
      <c r="J102" s="56" t="n"/>
      <c r="K102" s="56" t="n"/>
      <c r="L102" s="46">
        <f>K102-J102</f>
        <v/>
      </c>
      <c r="M102" s="47" t="n"/>
      <c r="N102" s="48">
        <f>COUNTIFS(上课记录!$B:$B,A102,上课记录!$J:$J,"是")</f>
        <v/>
      </c>
      <c r="O102" s="31">
        <f>IF(F102="次卡",MAX(0,M102-N102),"—")</f>
        <v/>
      </c>
      <c r="P102" s="31">
        <f>IF(F102="期限卡",MAX(0,I102-TODAY()),"—")</f>
        <v/>
      </c>
      <c r="Q102" s="31">
        <f>IF(A102="","",IF(F102="次卡",IF(OR(K102="",K102=0,M102=0),"",K102/M102),IF(F102="期限卡",IF(AND(K102&lt;&gt;"",K102&lt;&gt;0,I102&gt;H102),K102/(I102-H102),""),"")))</f>
        <v/>
      </c>
      <c r="R102" s="31">
        <f>IF(A102="","",IF(F102="次卡",IF(OR(K102="",K102=0,M102=0),"",Q102*O102),IF(F102="期限卡",IF(AND(K102&lt;&gt;"",K102&lt;&gt;0,I102&gt;H102),Q102*P102,""),"")))</f>
        <v/>
      </c>
      <c r="S102" s="57">
        <f>IF(A102="","",IF(COUNTIFS(上课记录!$B:$B,A102,上课记录!$J:$J,"是")&gt;0,_xlfn.MAXIFS(上课记录!$D:$D,上课记录!$B:$B,A102,上课记录!$J:$J,"是"),IF(H102&gt;0,H102,"未上课")))</f>
        <v/>
      </c>
      <c r="T102" s="31">
        <f>IF(A102="",0,IF(S102="未上课",0,IF(S102="",0,TODAY()-S102)))</f>
        <v/>
      </c>
      <c r="U102" s="31">
        <f>IF(OR(AND(F102="次卡",O102=0),AND(F102="期限卡",P102=0)),"已到期",IF(T102&gt;=10,"沉睡客户",IF(T102&gt;=7,"预警客户",IF(T102=0,IF(A102="","待更新","正常"),"正常"))))</f>
        <v/>
      </c>
      <c r="V102" s="11" t="n"/>
      <c r="W102" s="11" t="n"/>
    </row>
    <row r="103">
      <c r="A103" s="44" t="n"/>
      <c r="B103" s="11" t="n"/>
      <c r="C103" s="11" t="n"/>
      <c r="D103" s="11" t="n"/>
      <c r="E103" s="11" t="n"/>
      <c r="F103" s="11" t="n"/>
      <c r="G103" s="55" t="n"/>
      <c r="H103" s="55" t="n"/>
      <c r="I103" s="55" t="n"/>
      <c r="J103" s="56" t="n"/>
      <c r="K103" s="56" t="n"/>
      <c r="L103" s="46">
        <f>K103-J103</f>
        <v/>
      </c>
      <c r="M103" s="47" t="n"/>
      <c r="N103" s="48">
        <f>COUNTIFS(上课记录!$B:$B,A103,上课记录!$J:$J,"是")</f>
        <v/>
      </c>
      <c r="O103" s="31">
        <f>IF(F103="次卡",MAX(0,M103-N103),"—")</f>
        <v/>
      </c>
      <c r="P103" s="31">
        <f>IF(F103="期限卡",MAX(0,I103-TODAY()),"—")</f>
        <v/>
      </c>
      <c r="Q103" s="31">
        <f>IF(A103="","",IF(F103="次卡",IF(OR(K103="",K103=0,M103=0),"",K103/M103),IF(F103="期限卡",IF(AND(K103&lt;&gt;"",K103&lt;&gt;0,I103&gt;H103),K103/(I103-H103),""),"")))</f>
        <v/>
      </c>
      <c r="R103" s="31">
        <f>IF(A103="","",IF(F103="次卡",IF(OR(K103="",K103=0,M103=0),"",Q103*O103),IF(F103="期限卡",IF(AND(K103&lt;&gt;"",K103&lt;&gt;0,I103&gt;H103),Q103*P103,""),"")))</f>
        <v/>
      </c>
      <c r="S103" s="57">
        <f>IF(A103="","",IF(COUNTIFS(上课记录!$B:$B,A103,上课记录!$J:$J,"是")&gt;0,_xlfn.MAXIFS(上课记录!$D:$D,上课记录!$B:$B,A103,上课记录!$J:$J,"是"),IF(H103&gt;0,H103,"未上课")))</f>
        <v/>
      </c>
      <c r="T103" s="31">
        <f>IF(A103="",0,IF(S103="未上课",0,IF(S103="",0,TODAY()-S103)))</f>
        <v/>
      </c>
      <c r="U103" s="31">
        <f>IF(OR(AND(F103="次卡",O103=0),AND(F103="期限卡",P103=0)),"已到期",IF(T103&gt;=10,"沉睡客户",IF(T103&gt;=7,"预警客户",IF(T103=0,IF(A103="","待更新","正常"),"正常"))))</f>
        <v/>
      </c>
      <c r="V103" s="11" t="n"/>
      <c r="W103" s="11" t="n"/>
    </row>
    <row r="104">
      <c r="A104" s="44" t="n"/>
      <c r="B104" s="11" t="n"/>
      <c r="C104" s="11" t="n"/>
      <c r="D104" s="11" t="n"/>
      <c r="E104" s="11" t="n"/>
      <c r="F104" s="11" t="n"/>
      <c r="G104" s="55" t="n"/>
      <c r="H104" s="55" t="n"/>
      <c r="I104" s="55" t="n"/>
      <c r="J104" s="56" t="n"/>
      <c r="K104" s="56" t="n"/>
      <c r="L104" s="46">
        <f>K104-J104</f>
        <v/>
      </c>
      <c r="M104" s="47" t="n"/>
      <c r="N104" s="48">
        <f>COUNTIFS(上课记录!$B:$B,A104,上课记录!$J:$J,"是")</f>
        <v/>
      </c>
      <c r="O104" s="31">
        <f>IF(F104="次卡",MAX(0,M104-N104),"—")</f>
        <v/>
      </c>
      <c r="P104" s="31">
        <f>IF(F104="期限卡",MAX(0,I104-TODAY()),"—")</f>
        <v/>
      </c>
      <c r="Q104" s="31">
        <f>IF(A104="","",IF(F104="次卡",IF(OR(K104="",K104=0,M104=0),"",K104/M104),IF(F104="期限卡",IF(AND(K104&lt;&gt;"",K104&lt;&gt;0,I104&gt;H104),K104/(I104-H104),""),"")))</f>
        <v/>
      </c>
      <c r="R104" s="31">
        <f>IF(A104="","",IF(F104="次卡",IF(OR(K104="",K104=0,M104=0),"",Q104*O104),IF(F104="期限卡",IF(AND(K104&lt;&gt;"",K104&lt;&gt;0,I104&gt;H104),Q104*P104,""),"")))</f>
        <v/>
      </c>
      <c r="S104" s="57">
        <f>IF(A104="","",IF(COUNTIFS(上课记录!$B:$B,A104,上课记录!$J:$J,"是")&gt;0,_xlfn.MAXIFS(上课记录!$D:$D,上课记录!$B:$B,A104,上课记录!$J:$J,"是"),IF(H104&gt;0,H104,"未上课")))</f>
        <v/>
      </c>
      <c r="T104" s="31">
        <f>IF(A104="",0,IF(S104="未上课",0,IF(S104="",0,TODAY()-S104)))</f>
        <v/>
      </c>
      <c r="U104" s="31">
        <f>IF(OR(AND(F104="次卡",O104=0),AND(F104="期限卡",P104=0)),"已到期",IF(T104&gt;=10,"沉睡客户",IF(T104&gt;=7,"预警客户",IF(T104=0,IF(A104="","待更新","正常"),"正常"))))</f>
        <v/>
      </c>
      <c r="V104" s="11" t="n"/>
      <c r="W104" s="11" t="n"/>
    </row>
    <row r="105">
      <c r="A105" s="44" t="n"/>
      <c r="B105" s="11" t="n"/>
      <c r="C105" s="11" t="n"/>
      <c r="D105" s="11" t="n"/>
      <c r="E105" s="11" t="n"/>
      <c r="F105" s="11" t="n"/>
      <c r="G105" s="55" t="n"/>
      <c r="H105" s="55" t="n"/>
      <c r="I105" s="55" t="n"/>
      <c r="J105" s="56" t="n"/>
      <c r="K105" s="56" t="n"/>
      <c r="L105" s="46">
        <f>K105-J105</f>
        <v/>
      </c>
      <c r="M105" s="47" t="n"/>
      <c r="N105" s="48">
        <f>COUNTIFS(上课记录!$B:$B,A105,上课记录!$J:$J,"是")</f>
        <v/>
      </c>
      <c r="O105" s="31">
        <f>IF(F105="次卡",MAX(0,M105-N105),"—")</f>
        <v/>
      </c>
      <c r="P105" s="31">
        <f>IF(F105="期限卡",MAX(0,I105-TODAY()),"—")</f>
        <v/>
      </c>
      <c r="Q105" s="31">
        <f>IF(A105="","",IF(F105="次卡",IF(OR(K105="",K105=0,M105=0),"",K105/M105),IF(F105="期限卡",IF(AND(K105&lt;&gt;"",K105&lt;&gt;0,I105&gt;H105),K105/(I105-H105),""),"")))</f>
        <v/>
      </c>
      <c r="R105" s="31">
        <f>IF(A105="","",IF(F105="次卡",IF(OR(K105="",K105=0,M105=0),"",Q105*O105),IF(F105="期限卡",IF(AND(K105&lt;&gt;"",K105&lt;&gt;0,I105&gt;H105),Q105*P105,""),"")))</f>
        <v/>
      </c>
      <c r="S105" s="57">
        <f>IF(A105="","",IF(COUNTIFS(上课记录!$B:$B,A105,上课记录!$J:$J,"是")&gt;0,_xlfn.MAXIFS(上课记录!$D:$D,上课记录!$B:$B,A105,上课记录!$J:$J,"是"),IF(H105&gt;0,H105,"未上课")))</f>
        <v/>
      </c>
      <c r="T105" s="31">
        <f>IF(A105="",0,IF(S105="未上课",0,IF(S105="",0,TODAY()-S105)))</f>
        <v/>
      </c>
      <c r="U105" s="31">
        <f>IF(OR(AND(F105="次卡",O105=0),AND(F105="期限卡",P105=0)),"已到期",IF(T105&gt;=10,"沉睡客户",IF(T105&gt;=7,"预警客户",IF(T105=0,IF(A105="","待更新","正常"),"正常"))))</f>
        <v/>
      </c>
      <c r="V105" s="11" t="n"/>
      <c r="W105" s="11" t="n"/>
    </row>
    <row r="106">
      <c r="A106" s="44" t="n"/>
      <c r="B106" s="11" t="n"/>
      <c r="C106" s="11" t="n"/>
      <c r="D106" s="11" t="n"/>
      <c r="E106" s="11" t="n"/>
      <c r="F106" s="11" t="n"/>
      <c r="G106" s="55" t="n"/>
      <c r="H106" s="55" t="n"/>
      <c r="I106" s="55" t="n"/>
      <c r="J106" s="56" t="n"/>
      <c r="K106" s="56" t="n"/>
      <c r="L106" s="46">
        <f>K106-J106</f>
        <v/>
      </c>
      <c r="M106" s="47" t="n"/>
      <c r="N106" s="48">
        <f>COUNTIFS(上课记录!$B:$B,A106,上课记录!$J:$J,"是")</f>
        <v/>
      </c>
      <c r="O106" s="31">
        <f>IF(F106="次卡",MAX(0,M106-N106),"—")</f>
        <v/>
      </c>
      <c r="P106" s="31">
        <f>IF(F106="期限卡",MAX(0,I106-TODAY()),"—")</f>
        <v/>
      </c>
      <c r="Q106" s="31">
        <f>IF(A106="","",IF(F106="次卡",IF(OR(K106="",K106=0,M106=0),"",K106/M106),IF(F106="期限卡",IF(AND(K106&lt;&gt;"",K106&lt;&gt;0,I106&gt;H106),K106/(I106-H106),""),"")))</f>
        <v/>
      </c>
      <c r="R106" s="31">
        <f>IF(A106="","",IF(F106="次卡",IF(OR(K106="",K106=0,M106=0),"",Q106*O106),IF(F106="期限卡",IF(AND(K106&lt;&gt;"",K106&lt;&gt;0,I106&gt;H106),Q106*P106,""),"")))</f>
        <v/>
      </c>
      <c r="S106" s="57">
        <f>IF(A106="","",IF(COUNTIFS(上课记录!$B:$B,A106,上课记录!$J:$J,"是")&gt;0,_xlfn.MAXIFS(上课记录!$D:$D,上课记录!$B:$B,A106,上课记录!$J:$J,"是"),IF(H106&gt;0,H106,"未上课")))</f>
        <v/>
      </c>
      <c r="T106" s="31">
        <f>IF(A106="",0,IF(S106="未上课",0,IF(S106="",0,TODAY()-S106)))</f>
        <v/>
      </c>
      <c r="U106" s="31">
        <f>IF(OR(AND(F106="次卡",O106=0),AND(F106="期限卡",P106=0)),"已到期",IF(T106&gt;=10,"沉睡客户",IF(T106&gt;=7,"预警客户",IF(T106=0,IF(A106="","待更新","正常"),"正常"))))</f>
        <v/>
      </c>
      <c r="V106" s="11" t="n"/>
      <c r="W106" s="11" t="n"/>
    </row>
    <row r="107">
      <c r="A107" s="44" t="n"/>
      <c r="B107" s="11" t="n"/>
      <c r="C107" s="11" t="n"/>
      <c r="D107" s="11" t="n"/>
      <c r="E107" s="11" t="n"/>
      <c r="F107" s="11" t="n"/>
      <c r="G107" s="55" t="n"/>
      <c r="H107" s="55" t="n"/>
      <c r="I107" s="55" t="n"/>
      <c r="J107" s="56" t="n"/>
      <c r="K107" s="56" t="n"/>
      <c r="L107" s="46">
        <f>K107-J107</f>
        <v/>
      </c>
      <c r="M107" s="47" t="n"/>
      <c r="N107" s="48">
        <f>COUNTIFS(上课记录!$B:$B,A107,上课记录!$J:$J,"是")</f>
        <v/>
      </c>
      <c r="O107" s="31">
        <f>IF(F107="次卡",MAX(0,M107-N107),"—")</f>
        <v/>
      </c>
      <c r="P107" s="31">
        <f>IF(F107="期限卡",MAX(0,I107-TODAY()),"—")</f>
        <v/>
      </c>
      <c r="Q107" s="31">
        <f>IF(A107="","",IF(F107="次卡",IF(OR(K107="",K107=0,M107=0),"",K107/M107),IF(F107="期限卡",IF(AND(K107&lt;&gt;"",K107&lt;&gt;0,I107&gt;H107),K107/(I107-H107),""),"")))</f>
        <v/>
      </c>
      <c r="R107" s="31">
        <f>IF(A107="","",IF(F107="次卡",IF(OR(K107="",K107=0,M107=0),"",Q107*O107),IF(F107="期限卡",IF(AND(K107&lt;&gt;"",K107&lt;&gt;0,I107&gt;H107),Q107*P107,""),"")))</f>
        <v/>
      </c>
      <c r="S107" s="57">
        <f>IF(A107="","",IF(COUNTIFS(上课记录!$B:$B,A107,上课记录!$J:$J,"是")&gt;0,_xlfn.MAXIFS(上课记录!$D:$D,上课记录!$B:$B,A107,上课记录!$J:$J,"是"),IF(H107&gt;0,H107,"未上课")))</f>
        <v/>
      </c>
      <c r="T107" s="31">
        <f>IF(A107="",0,IF(S107="未上课",0,IF(S107="",0,TODAY()-S107)))</f>
        <v/>
      </c>
      <c r="U107" s="31">
        <f>IF(OR(AND(F107="次卡",O107=0),AND(F107="期限卡",P107=0)),"已到期",IF(T107&gt;=10,"沉睡客户",IF(T107&gt;=7,"预警客户",IF(T107=0,IF(A107="","待更新","正常"),"正常"))))</f>
        <v/>
      </c>
      <c r="V107" s="11" t="n"/>
      <c r="W107" s="11" t="n"/>
    </row>
    <row r="108">
      <c r="A108" s="44" t="n"/>
      <c r="B108" s="11" t="n"/>
      <c r="C108" s="11" t="n"/>
      <c r="D108" s="11" t="n"/>
      <c r="E108" s="11" t="n"/>
      <c r="F108" s="11" t="n"/>
      <c r="G108" s="55" t="n"/>
      <c r="H108" s="55" t="n"/>
      <c r="I108" s="55" t="n"/>
      <c r="J108" s="56" t="n"/>
      <c r="K108" s="56" t="n"/>
      <c r="L108" s="46">
        <f>K108-J108</f>
        <v/>
      </c>
      <c r="M108" s="47" t="n"/>
      <c r="N108" s="48">
        <f>COUNTIFS(上课记录!$B:$B,A108,上课记录!$J:$J,"是")</f>
        <v/>
      </c>
      <c r="O108" s="31">
        <f>IF(F108="次卡",MAX(0,M108-N108),"—")</f>
        <v/>
      </c>
      <c r="P108" s="31">
        <f>IF(F108="期限卡",MAX(0,I108-TODAY()),"—")</f>
        <v/>
      </c>
      <c r="Q108" s="31">
        <f>IF(A108="","",IF(F108="次卡",IF(OR(K108="",K108=0,M108=0),"",K108/M108),IF(F108="期限卡",IF(AND(K108&lt;&gt;"",K108&lt;&gt;0,I108&gt;H108),K108/(I108-H108),""),"")))</f>
        <v/>
      </c>
      <c r="R108" s="31">
        <f>IF(A108="","",IF(F108="次卡",IF(OR(K108="",K108=0,M108=0),"",Q108*O108),IF(F108="期限卡",IF(AND(K108&lt;&gt;"",K108&lt;&gt;0,I108&gt;H108),Q108*P108,""),"")))</f>
        <v/>
      </c>
      <c r="S108" s="57">
        <f>IF(A108="","",IF(COUNTIFS(上课记录!$B:$B,A108,上课记录!$J:$J,"是")&gt;0,_xlfn.MAXIFS(上课记录!$D:$D,上课记录!$B:$B,A108,上课记录!$J:$J,"是"),IF(H108&gt;0,H108,"未上课")))</f>
        <v/>
      </c>
      <c r="T108" s="31">
        <f>IF(A108="",0,IF(S108="未上课",0,IF(S108="",0,TODAY()-S108)))</f>
        <v/>
      </c>
      <c r="U108" s="31">
        <f>IF(OR(AND(F108="次卡",O108=0),AND(F108="期限卡",P108=0)),"已到期",IF(T108&gt;=10,"沉睡客户",IF(T108&gt;=7,"预警客户",IF(T108=0,IF(A108="","待更新","正常"),"正常"))))</f>
        <v/>
      </c>
      <c r="V108" s="11" t="n"/>
      <c r="W108" s="11" t="n"/>
    </row>
    <row r="109">
      <c r="A109" s="44" t="n"/>
      <c r="B109" s="11" t="n"/>
      <c r="C109" s="11" t="n"/>
      <c r="D109" s="11" t="n"/>
      <c r="E109" s="11" t="n"/>
      <c r="F109" s="11" t="n"/>
      <c r="G109" s="55" t="n"/>
      <c r="H109" s="55" t="n"/>
      <c r="I109" s="55" t="n"/>
      <c r="J109" s="56" t="n"/>
      <c r="K109" s="56" t="n"/>
      <c r="L109" s="46">
        <f>K109-J109</f>
        <v/>
      </c>
      <c r="M109" s="47" t="n"/>
      <c r="N109" s="48">
        <f>COUNTIFS(上课记录!$B:$B,A109,上课记录!$J:$J,"是")</f>
        <v/>
      </c>
      <c r="O109" s="31">
        <f>IF(F109="次卡",MAX(0,M109-N109),"—")</f>
        <v/>
      </c>
      <c r="P109" s="31">
        <f>IF(F109="期限卡",MAX(0,I109-TODAY()),"—")</f>
        <v/>
      </c>
      <c r="Q109" s="31">
        <f>IF(A109="","",IF(F109="次卡",IF(OR(K109="",K109=0,M109=0),"",K109/M109),IF(F109="期限卡",IF(AND(K109&lt;&gt;"",K109&lt;&gt;0,I109&gt;H109),K109/(I109-H109),""),"")))</f>
        <v/>
      </c>
      <c r="R109" s="31">
        <f>IF(A109="","",IF(F109="次卡",IF(OR(K109="",K109=0,M109=0),"",Q109*O109),IF(F109="期限卡",IF(AND(K109&lt;&gt;"",K109&lt;&gt;0,I109&gt;H109),Q109*P109,""),"")))</f>
        <v/>
      </c>
      <c r="S109" s="57">
        <f>IF(A109="","",IF(COUNTIFS(上课记录!$B:$B,A109,上课记录!$J:$J,"是")&gt;0,_xlfn.MAXIFS(上课记录!$D:$D,上课记录!$B:$B,A109,上课记录!$J:$J,"是"),IF(H109&gt;0,H109,"未上课")))</f>
        <v/>
      </c>
      <c r="T109" s="31">
        <f>IF(A109="",0,IF(S109="未上课",0,IF(S109="",0,TODAY()-S109)))</f>
        <v/>
      </c>
      <c r="U109" s="31">
        <f>IF(OR(AND(F109="次卡",O109=0),AND(F109="期限卡",P109=0)),"已到期",IF(T109&gt;=10,"沉睡客户",IF(T109&gt;=7,"预警客户",IF(T109=0,IF(A109="","待更新","正常"),"正常"))))</f>
        <v/>
      </c>
      <c r="V109" s="11" t="n"/>
      <c r="W109" s="11" t="n"/>
    </row>
    <row r="110">
      <c r="A110" s="44" t="n"/>
      <c r="B110" s="11" t="n"/>
      <c r="C110" s="11" t="n"/>
      <c r="D110" s="11" t="n"/>
      <c r="E110" s="11" t="n"/>
      <c r="F110" s="11" t="n"/>
      <c r="G110" s="55" t="n"/>
      <c r="H110" s="55" t="n"/>
      <c r="I110" s="55" t="n"/>
      <c r="J110" s="56" t="n"/>
      <c r="K110" s="56" t="n"/>
      <c r="L110" s="46">
        <f>K110-J110</f>
        <v/>
      </c>
      <c r="M110" s="47" t="n"/>
      <c r="N110" s="48">
        <f>COUNTIFS(上课记录!$B:$B,A110,上课记录!$J:$J,"是")</f>
        <v/>
      </c>
      <c r="O110" s="31">
        <f>IF(F110="次卡",MAX(0,M110-N110),"—")</f>
        <v/>
      </c>
      <c r="P110" s="31">
        <f>IF(F110="期限卡",MAX(0,I110-TODAY()),"—")</f>
        <v/>
      </c>
      <c r="Q110" s="31">
        <f>IF(A110="","",IF(F110="次卡",IF(OR(K110="",K110=0,M110=0),"",K110/M110),IF(F110="期限卡",IF(AND(K110&lt;&gt;"",K110&lt;&gt;0,I110&gt;H110),K110/(I110-H110),""),"")))</f>
        <v/>
      </c>
      <c r="R110" s="31">
        <f>IF(A110="","",IF(F110="次卡",IF(OR(K110="",K110=0,M110=0),"",Q110*O110),IF(F110="期限卡",IF(AND(K110&lt;&gt;"",K110&lt;&gt;0,I110&gt;H110),Q110*P110,""),"")))</f>
        <v/>
      </c>
      <c r="S110" s="57">
        <f>IF(A110="","",IF(COUNTIFS(上课记录!$B:$B,A110,上课记录!$J:$J,"是")&gt;0,_xlfn.MAXIFS(上课记录!$D:$D,上课记录!$B:$B,A110,上课记录!$J:$J,"是"),IF(H110&gt;0,H110,"未上课")))</f>
        <v/>
      </c>
      <c r="T110" s="31">
        <f>IF(A110="",0,IF(S110="未上课",0,IF(S110="",0,TODAY()-S110)))</f>
        <v/>
      </c>
      <c r="U110" s="31">
        <f>IF(OR(AND(F110="次卡",O110=0),AND(F110="期限卡",P110=0)),"已到期",IF(T110&gt;=10,"沉睡客户",IF(T110&gt;=7,"预警客户",IF(T110=0,IF(A110="","待更新","正常"),"正常"))))</f>
        <v/>
      </c>
      <c r="V110" s="11" t="n"/>
      <c r="W110" s="11" t="n"/>
    </row>
    <row r="111">
      <c r="A111" s="44" t="n"/>
      <c r="B111" s="11" t="n"/>
      <c r="C111" s="11" t="n"/>
      <c r="D111" s="11" t="n"/>
      <c r="E111" s="11" t="n"/>
      <c r="F111" s="11" t="n"/>
      <c r="G111" s="55" t="n"/>
      <c r="H111" s="55" t="n"/>
      <c r="I111" s="55" t="n"/>
      <c r="J111" s="56" t="n"/>
      <c r="K111" s="56" t="n"/>
      <c r="L111" s="46">
        <f>K111-J111</f>
        <v/>
      </c>
      <c r="M111" s="47" t="n"/>
      <c r="N111" s="48">
        <f>COUNTIFS(上课记录!$B:$B,A111,上课记录!$J:$J,"是")</f>
        <v/>
      </c>
      <c r="O111" s="31">
        <f>IF(F111="次卡",MAX(0,M111-N111),"—")</f>
        <v/>
      </c>
      <c r="P111" s="31">
        <f>IF(F111="期限卡",MAX(0,I111-TODAY()),"—")</f>
        <v/>
      </c>
      <c r="Q111" s="31">
        <f>IF(A111="","",IF(F111="次卡",IF(OR(K111="",K111=0,M111=0),"",K111/M111),IF(F111="期限卡",IF(AND(K111&lt;&gt;"",K111&lt;&gt;0,I111&gt;H111),K111/(I111-H111),""),"")))</f>
        <v/>
      </c>
      <c r="R111" s="31">
        <f>IF(A111="","",IF(F111="次卡",IF(OR(K111="",K111=0,M111=0),"",Q111*O111),IF(F111="期限卡",IF(AND(K111&lt;&gt;"",K111&lt;&gt;0,I111&gt;H111),Q111*P111,""),"")))</f>
        <v/>
      </c>
      <c r="S111" s="57">
        <f>IF(A111="","",IF(COUNTIFS(上课记录!$B:$B,A111,上课记录!$J:$J,"是")&gt;0,_xlfn.MAXIFS(上课记录!$D:$D,上课记录!$B:$B,A111,上课记录!$J:$J,"是"),IF(H111&gt;0,H111,"未上课")))</f>
        <v/>
      </c>
      <c r="T111" s="31">
        <f>IF(A111="",0,IF(S111="未上课",0,IF(S111="",0,TODAY()-S111)))</f>
        <v/>
      </c>
      <c r="U111" s="31">
        <f>IF(OR(AND(F111="次卡",O111=0),AND(F111="期限卡",P111=0)),"已到期",IF(T111&gt;=10,"沉睡客户",IF(T111&gt;=7,"预警客户",IF(T111=0,IF(A111="","待更新","正常"),"正常"))))</f>
        <v/>
      </c>
      <c r="V111" s="11" t="n"/>
      <c r="W111" s="11" t="n"/>
    </row>
    <row r="112">
      <c r="A112" s="44" t="n"/>
      <c r="B112" s="11" t="n"/>
      <c r="C112" s="11" t="n"/>
      <c r="D112" s="11" t="n"/>
      <c r="E112" s="11" t="n"/>
      <c r="F112" s="11" t="n"/>
      <c r="G112" s="55" t="n"/>
      <c r="H112" s="55" t="n"/>
      <c r="I112" s="55" t="n"/>
      <c r="J112" s="56" t="n"/>
      <c r="K112" s="56" t="n"/>
      <c r="L112" s="46">
        <f>K112-J112</f>
        <v/>
      </c>
      <c r="M112" s="47" t="n"/>
      <c r="N112" s="48">
        <f>COUNTIFS(上课记录!$B:$B,A112,上课记录!$J:$J,"是")</f>
        <v/>
      </c>
      <c r="O112" s="31">
        <f>IF(F112="次卡",MAX(0,M112-N112),"—")</f>
        <v/>
      </c>
      <c r="P112" s="31">
        <f>IF(F112="期限卡",MAX(0,I112-TODAY()),"—")</f>
        <v/>
      </c>
      <c r="Q112" s="31">
        <f>IF(A112="","",IF(F112="次卡",IF(OR(K112="",K112=0,M112=0),"",K112/M112),IF(F112="期限卡",IF(AND(K112&lt;&gt;"",K112&lt;&gt;0,I112&gt;H112),K112/(I112-H112),""),"")))</f>
        <v/>
      </c>
      <c r="R112" s="31">
        <f>IF(A112="","",IF(F112="次卡",IF(OR(K112="",K112=0,M112=0),"",Q112*O112),IF(F112="期限卡",IF(AND(K112&lt;&gt;"",K112&lt;&gt;0,I112&gt;H112),Q112*P112,""),"")))</f>
        <v/>
      </c>
      <c r="S112" s="57">
        <f>IF(A112="","",IF(COUNTIFS(上课记录!$B:$B,A112,上课记录!$J:$J,"是")&gt;0,_xlfn.MAXIFS(上课记录!$D:$D,上课记录!$B:$B,A112,上课记录!$J:$J,"是"),IF(H112&gt;0,H112,"未上课")))</f>
        <v/>
      </c>
      <c r="T112" s="31">
        <f>IF(A112="",0,IF(S112="未上课",0,IF(S112="",0,TODAY()-S112)))</f>
        <v/>
      </c>
      <c r="U112" s="31">
        <f>IF(OR(AND(F112="次卡",O112=0),AND(F112="期限卡",P112=0)),"已到期",IF(T112&gt;=10,"沉睡客户",IF(T112&gt;=7,"预警客户",IF(T112=0,IF(A112="","待更新","正常"),"正常"))))</f>
        <v/>
      </c>
      <c r="V112" s="11" t="n"/>
      <c r="W112" s="11" t="n"/>
    </row>
    <row r="113">
      <c r="A113" s="44" t="n"/>
      <c r="B113" s="11" t="n"/>
      <c r="C113" s="11" t="n"/>
      <c r="D113" s="11" t="n"/>
      <c r="E113" s="11" t="n"/>
      <c r="F113" s="11" t="n"/>
      <c r="G113" s="55" t="n"/>
      <c r="H113" s="55" t="n"/>
      <c r="I113" s="55" t="n"/>
      <c r="J113" s="56" t="n"/>
      <c r="K113" s="56" t="n"/>
      <c r="L113" s="46">
        <f>K113-J113</f>
        <v/>
      </c>
      <c r="M113" s="47" t="n"/>
      <c r="N113" s="48">
        <f>COUNTIFS(上课记录!$B:$B,A113,上课记录!$J:$J,"是")</f>
        <v/>
      </c>
      <c r="O113" s="31">
        <f>IF(F113="次卡",MAX(0,M113-N113),"—")</f>
        <v/>
      </c>
      <c r="P113" s="31">
        <f>IF(F113="期限卡",MAX(0,I113-TODAY()),"—")</f>
        <v/>
      </c>
      <c r="Q113" s="31">
        <f>IF(A113="","",IF(F113="次卡",IF(OR(K113="",K113=0,M113=0),"",K113/M113),IF(F113="期限卡",IF(AND(K113&lt;&gt;"",K113&lt;&gt;0,I113&gt;H113),K113/(I113-H113),""),"")))</f>
        <v/>
      </c>
      <c r="R113" s="31">
        <f>IF(A113="","",IF(F113="次卡",IF(OR(K113="",K113=0,M113=0),"",Q113*O113),IF(F113="期限卡",IF(AND(K113&lt;&gt;"",K113&lt;&gt;0,I113&gt;H113),Q113*P113,""),"")))</f>
        <v/>
      </c>
      <c r="S113" s="57">
        <f>IF(A113="","",IF(COUNTIFS(上课记录!$B:$B,A113,上课记录!$J:$J,"是")&gt;0,_xlfn.MAXIFS(上课记录!$D:$D,上课记录!$B:$B,A113,上课记录!$J:$J,"是"),IF(H113&gt;0,H113,"未上课")))</f>
        <v/>
      </c>
      <c r="T113" s="31">
        <f>IF(A113="",0,IF(S113="未上课",0,IF(S113="",0,TODAY()-S113)))</f>
        <v/>
      </c>
      <c r="U113" s="31">
        <f>IF(OR(AND(F113="次卡",O113=0),AND(F113="期限卡",P113=0)),"已到期",IF(T113&gt;=10,"沉睡客户",IF(T113&gt;=7,"预警客户",IF(T113=0,IF(A113="","待更新","正常"),"正常"))))</f>
        <v/>
      </c>
      <c r="V113" s="11" t="n"/>
      <c r="W113" s="11" t="n"/>
    </row>
    <row r="114">
      <c r="A114" s="44" t="n"/>
      <c r="B114" s="11" t="n"/>
      <c r="C114" s="11" t="n"/>
      <c r="D114" s="11" t="n"/>
      <c r="E114" s="11" t="n"/>
      <c r="F114" s="11" t="n"/>
      <c r="G114" s="55" t="n"/>
      <c r="H114" s="55" t="n"/>
      <c r="I114" s="55" t="n"/>
      <c r="J114" s="56" t="n"/>
      <c r="K114" s="56" t="n"/>
      <c r="L114" s="46">
        <f>K114-J114</f>
        <v/>
      </c>
      <c r="M114" s="47" t="n"/>
      <c r="N114" s="48">
        <f>COUNTIFS(上课记录!$B:$B,A114,上课记录!$J:$J,"是")</f>
        <v/>
      </c>
      <c r="O114" s="31">
        <f>IF(F114="次卡",MAX(0,M114-N114),"—")</f>
        <v/>
      </c>
      <c r="P114" s="31">
        <f>IF(F114="期限卡",MAX(0,I114-TODAY()),"—")</f>
        <v/>
      </c>
      <c r="Q114" s="31">
        <f>IF(A114="","",IF(F114="次卡",IF(OR(K114="",K114=0,M114=0),"",K114/M114),IF(F114="期限卡",IF(AND(K114&lt;&gt;"",K114&lt;&gt;0,I114&gt;H114),K114/(I114-H114),""),"")))</f>
        <v/>
      </c>
      <c r="R114" s="31">
        <f>IF(A114="","",IF(F114="次卡",IF(OR(K114="",K114=0,M114=0),"",Q114*O114),IF(F114="期限卡",IF(AND(K114&lt;&gt;"",K114&lt;&gt;0,I114&gt;H114),Q114*P114,""),"")))</f>
        <v/>
      </c>
      <c r="S114" s="57">
        <f>IF(A114="","",IF(COUNTIFS(上课记录!$B:$B,A114,上课记录!$J:$J,"是")&gt;0,_xlfn.MAXIFS(上课记录!$D:$D,上课记录!$B:$B,A114,上课记录!$J:$J,"是"),IF(H114&gt;0,H114,"未上课")))</f>
        <v/>
      </c>
      <c r="T114" s="31">
        <f>IF(A114="",0,IF(S114="未上课",0,IF(S114="",0,TODAY()-S114)))</f>
        <v/>
      </c>
      <c r="U114" s="31">
        <f>IF(OR(AND(F114="次卡",O114=0),AND(F114="期限卡",P114=0)),"已到期",IF(T114&gt;=10,"沉睡客户",IF(T114&gt;=7,"预警客户",IF(T114=0,IF(A114="","待更新","正常"),"正常"))))</f>
        <v/>
      </c>
      <c r="V114" s="11" t="n"/>
      <c r="W114" s="11" t="n"/>
    </row>
    <row r="115">
      <c r="A115" s="44" t="n"/>
      <c r="B115" s="11" t="n"/>
      <c r="C115" s="11" t="n"/>
      <c r="D115" s="11" t="n"/>
      <c r="E115" s="11" t="n"/>
      <c r="F115" s="11" t="n"/>
      <c r="G115" s="55" t="n"/>
      <c r="H115" s="55" t="n"/>
      <c r="I115" s="55" t="n"/>
      <c r="J115" s="56" t="n"/>
      <c r="K115" s="56" t="n"/>
      <c r="L115" s="46">
        <f>K115-J115</f>
        <v/>
      </c>
      <c r="M115" s="47" t="n"/>
      <c r="N115" s="48">
        <f>COUNTIFS(上课记录!$B:$B,A115,上课记录!$J:$J,"是")</f>
        <v/>
      </c>
      <c r="O115" s="31">
        <f>IF(F115="次卡",MAX(0,M115-N115),"—")</f>
        <v/>
      </c>
      <c r="P115" s="31">
        <f>IF(F115="期限卡",MAX(0,I115-TODAY()),"—")</f>
        <v/>
      </c>
      <c r="Q115" s="31">
        <f>IF(A115="","",IF(F115="次卡",IF(OR(K115="",K115=0,M115=0),"",K115/M115),IF(F115="期限卡",IF(AND(K115&lt;&gt;"",K115&lt;&gt;0,I115&gt;H115),K115/(I115-H115),""),"")))</f>
        <v/>
      </c>
      <c r="R115" s="31">
        <f>IF(A115="","",IF(F115="次卡",IF(OR(K115="",K115=0,M115=0),"",Q115*O115),IF(F115="期限卡",IF(AND(K115&lt;&gt;"",K115&lt;&gt;0,I115&gt;H115),Q115*P115,""),"")))</f>
        <v/>
      </c>
      <c r="S115" s="57">
        <f>IF(A115="","",IF(COUNTIFS(上课记录!$B:$B,A115,上课记录!$J:$J,"是")&gt;0,_xlfn.MAXIFS(上课记录!$D:$D,上课记录!$B:$B,A115,上课记录!$J:$J,"是"),IF(H115&gt;0,H115,"未上课")))</f>
        <v/>
      </c>
      <c r="T115" s="31">
        <f>IF(A115="",0,IF(S115="未上课",0,IF(S115="",0,TODAY()-S115)))</f>
        <v/>
      </c>
      <c r="U115" s="31">
        <f>IF(OR(AND(F115="次卡",O115=0),AND(F115="期限卡",P115=0)),"已到期",IF(T115&gt;=10,"沉睡客户",IF(T115&gt;=7,"预警客户",IF(T115=0,IF(A115="","待更新","正常"),"正常"))))</f>
        <v/>
      </c>
      <c r="V115" s="11" t="n"/>
      <c r="W115" s="11" t="n"/>
    </row>
    <row r="116">
      <c r="A116" s="44" t="n"/>
      <c r="B116" s="11" t="n"/>
      <c r="C116" s="11" t="n"/>
      <c r="D116" s="11" t="n"/>
      <c r="E116" s="11" t="n"/>
      <c r="F116" s="11" t="n"/>
      <c r="G116" s="55" t="n"/>
      <c r="H116" s="55" t="n"/>
      <c r="I116" s="55" t="n"/>
      <c r="J116" s="56" t="n"/>
      <c r="K116" s="56" t="n"/>
      <c r="L116" s="46">
        <f>K116-J116</f>
        <v/>
      </c>
      <c r="M116" s="47" t="n"/>
      <c r="N116" s="48">
        <f>COUNTIFS(上课记录!$B:$B,A116,上课记录!$J:$J,"是")</f>
        <v/>
      </c>
      <c r="O116" s="31">
        <f>IF(F116="次卡",MAX(0,M116-N116),"—")</f>
        <v/>
      </c>
      <c r="P116" s="31">
        <f>IF(F116="期限卡",MAX(0,I116-TODAY()),"—")</f>
        <v/>
      </c>
      <c r="Q116" s="31">
        <f>IF(A116="","",IF(F116="次卡",IF(OR(K116="",K116=0,M116=0),"",K116/M116),IF(F116="期限卡",IF(AND(K116&lt;&gt;"",K116&lt;&gt;0,I116&gt;H116),K116/(I116-H116),""),"")))</f>
        <v/>
      </c>
      <c r="R116" s="31">
        <f>IF(A116="","",IF(F116="次卡",IF(OR(K116="",K116=0,M116=0),"",Q116*O116),IF(F116="期限卡",IF(AND(K116&lt;&gt;"",K116&lt;&gt;0,I116&gt;H116),Q116*P116,""),"")))</f>
        <v/>
      </c>
      <c r="S116" s="57">
        <f>IF(A116="","",IF(COUNTIFS(上课记录!$B:$B,A116,上课记录!$J:$J,"是")&gt;0,_xlfn.MAXIFS(上课记录!$D:$D,上课记录!$B:$B,A116,上课记录!$J:$J,"是"),IF(H116&gt;0,H116,"未上课")))</f>
        <v/>
      </c>
      <c r="T116" s="31">
        <f>IF(A116="",0,IF(S116="未上课",0,IF(S116="",0,TODAY()-S116)))</f>
        <v/>
      </c>
      <c r="U116" s="31">
        <f>IF(OR(AND(F116="次卡",O116=0),AND(F116="期限卡",P116=0)),"已到期",IF(T116&gt;=10,"沉睡客户",IF(T116&gt;=7,"预警客户",IF(T116=0,IF(A116="","待更新","正常"),"正常"))))</f>
        <v/>
      </c>
      <c r="V116" s="11" t="n"/>
      <c r="W116" s="11" t="n"/>
    </row>
    <row r="117">
      <c r="A117" s="44" t="n"/>
      <c r="B117" s="11" t="n"/>
      <c r="C117" s="11" t="n"/>
      <c r="D117" s="11" t="n"/>
      <c r="E117" s="11" t="n"/>
      <c r="F117" s="11" t="n"/>
      <c r="G117" s="55" t="n"/>
      <c r="H117" s="55" t="n"/>
      <c r="I117" s="55" t="n"/>
      <c r="J117" s="56" t="n"/>
      <c r="K117" s="56" t="n"/>
      <c r="L117" s="46">
        <f>K117-J117</f>
        <v/>
      </c>
      <c r="M117" s="47" t="n"/>
      <c r="N117" s="48">
        <f>COUNTIFS(上课记录!$B:$B,A117,上课记录!$J:$J,"是")</f>
        <v/>
      </c>
      <c r="O117" s="31">
        <f>IF(F117="次卡",MAX(0,M117-N117),"—")</f>
        <v/>
      </c>
      <c r="P117" s="31">
        <f>IF(F117="期限卡",MAX(0,I117-TODAY()),"—")</f>
        <v/>
      </c>
      <c r="Q117" s="31">
        <f>IF(A117="","",IF(F117="次卡",IF(OR(K117="",K117=0,M117=0),"",K117/M117),IF(F117="期限卡",IF(AND(K117&lt;&gt;"",K117&lt;&gt;0,I117&gt;H117),K117/(I117-H117),""),"")))</f>
        <v/>
      </c>
      <c r="R117" s="31">
        <f>IF(A117="","",IF(F117="次卡",IF(OR(K117="",K117=0,M117=0),"",Q117*O117),IF(F117="期限卡",IF(AND(K117&lt;&gt;"",K117&lt;&gt;0,I117&gt;H117),Q117*P117,""),"")))</f>
        <v/>
      </c>
      <c r="S117" s="57">
        <f>IF(A117="","",IF(COUNTIFS(上课记录!$B:$B,A117,上课记录!$J:$J,"是")&gt;0,_xlfn.MAXIFS(上课记录!$D:$D,上课记录!$B:$B,A117,上课记录!$J:$J,"是"),IF(H117&gt;0,H117,"未上课")))</f>
        <v/>
      </c>
      <c r="T117" s="31">
        <f>IF(A117="",0,IF(S117="未上课",0,IF(S117="",0,TODAY()-S117)))</f>
        <v/>
      </c>
      <c r="U117" s="31">
        <f>IF(OR(AND(F117="次卡",O117=0),AND(F117="期限卡",P117=0)),"已到期",IF(T117&gt;=10,"沉睡客户",IF(T117&gt;=7,"预警客户",IF(T117=0,IF(A117="","待更新","正常"),"正常"))))</f>
        <v/>
      </c>
      <c r="V117" s="11" t="n"/>
      <c r="W117" s="11" t="n"/>
    </row>
    <row r="118">
      <c r="A118" s="44" t="n"/>
      <c r="B118" s="11" t="n"/>
      <c r="C118" s="11" t="n"/>
      <c r="D118" s="11" t="n"/>
      <c r="E118" s="11" t="n"/>
      <c r="F118" s="11" t="n"/>
      <c r="G118" s="55" t="n"/>
      <c r="H118" s="55" t="n"/>
      <c r="I118" s="55" t="n"/>
      <c r="J118" s="56" t="n"/>
      <c r="K118" s="56" t="n"/>
      <c r="L118" s="46">
        <f>K118-J118</f>
        <v/>
      </c>
      <c r="M118" s="47" t="n"/>
      <c r="N118" s="48">
        <f>COUNTIFS(上课记录!$B:$B,A118,上课记录!$J:$J,"是")</f>
        <v/>
      </c>
      <c r="O118" s="31">
        <f>IF(F118="次卡",MAX(0,M118-N118),"—")</f>
        <v/>
      </c>
      <c r="P118" s="31">
        <f>IF(F118="期限卡",MAX(0,I118-TODAY()),"—")</f>
        <v/>
      </c>
      <c r="Q118" s="31">
        <f>IF(A118="","",IF(F118="次卡",IF(OR(K118="",K118=0,M118=0),"",K118/M118),IF(F118="期限卡",IF(AND(K118&lt;&gt;"",K118&lt;&gt;0,I118&gt;H118),K118/(I118-H118),""),"")))</f>
        <v/>
      </c>
      <c r="R118" s="31">
        <f>IF(A118="","",IF(F118="次卡",IF(OR(K118="",K118=0,M118=0),"",Q118*O118),IF(F118="期限卡",IF(AND(K118&lt;&gt;"",K118&lt;&gt;0,I118&gt;H118),Q118*P118,""),"")))</f>
        <v/>
      </c>
      <c r="S118" s="57">
        <f>IF(A118="","",IF(COUNTIFS(上课记录!$B:$B,A118,上课记录!$J:$J,"是")&gt;0,_xlfn.MAXIFS(上课记录!$D:$D,上课记录!$B:$B,A118,上课记录!$J:$J,"是"),IF(H118&gt;0,H118,"未上课")))</f>
        <v/>
      </c>
      <c r="T118" s="31">
        <f>IF(A118="",0,IF(S118="未上课",0,IF(S118="",0,TODAY()-S118)))</f>
        <v/>
      </c>
      <c r="U118" s="31">
        <f>IF(OR(AND(F118="次卡",O118=0),AND(F118="期限卡",P118=0)),"已到期",IF(T118&gt;=10,"沉睡客户",IF(T118&gt;=7,"预警客户",IF(T118=0,IF(A118="","待更新","正常"),"正常"))))</f>
        <v/>
      </c>
      <c r="V118" s="11" t="n"/>
      <c r="W118" s="11" t="n"/>
    </row>
    <row r="119">
      <c r="A119" s="44" t="n"/>
      <c r="B119" s="11" t="n"/>
      <c r="C119" s="11" t="n"/>
      <c r="D119" s="11" t="n"/>
      <c r="E119" s="11" t="n"/>
      <c r="F119" s="11" t="n"/>
      <c r="G119" s="55" t="n"/>
      <c r="H119" s="55" t="n"/>
      <c r="I119" s="55" t="n"/>
      <c r="J119" s="56" t="n"/>
      <c r="K119" s="56" t="n"/>
      <c r="L119" s="46">
        <f>K119-J119</f>
        <v/>
      </c>
      <c r="M119" s="47" t="n"/>
      <c r="N119" s="48">
        <f>COUNTIFS(上课记录!$B:$B,A119,上课记录!$J:$J,"是")</f>
        <v/>
      </c>
      <c r="O119" s="31">
        <f>IF(F119="次卡",MAX(0,M119-N119),"—")</f>
        <v/>
      </c>
      <c r="P119" s="31">
        <f>IF(F119="期限卡",MAX(0,I119-TODAY()),"—")</f>
        <v/>
      </c>
      <c r="Q119" s="31">
        <f>IF(A119="","",IF(F119="次卡",IF(OR(K119="",K119=0,M119=0),"",K119/M119),IF(F119="期限卡",IF(AND(K119&lt;&gt;"",K119&lt;&gt;0,I119&gt;H119),K119/(I119-H119),""),"")))</f>
        <v/>
      </c>
      <c r="R119" s="31">
        <f>IF(A119="","",IF(F119="次卡",IF(OR(K119="",K119=0,M119=0),"",Q119*O119),IF(F119="期限卡",IF(AND(K119&lt;&gt;"",K119&lt;&gt;0,I119&gt;H119),Q119*P119,""),"")))</f>
        <v/>
      </c>
      <c r="S119" s="57">
        <f>IF(A119="","",IF(COUNTIFS(上课记录!$B:$B,A119,上课记录!$J:$J,"是")&gt;0,_xlfn.MAXIFS(上课记录!$D:$D,上课记录!$B:$B,A119,上课记录!$J:$J,"是"),IF(H119&gt;0,H119,"未上课")))</f>
        <v/>
      </c>
      <c r="T119" s="31">
        <f>IF(A119="",0,IF(S119="未上课",0,IF(S119="",0,TODAY()-S119)))</f>
        <v/>
      </c>
      <c r="U119" s="31">
        <f>IF(OR(AND(F119="次卡",O119=0),AND(F119="期限卡",P119=0)),"已到期",IF(T119&gt;=10,"沉睡客户",IF(T119&gt;=7,"预警客户",IF(T119=0,IF(A119="","待更新","正常"),"正常"))))</f>
        <v/>
      </c>
      <c r="V119" s="11" t="n"/>
      <c r="W119" s="11" t="n"/>
    </row>
    <row r="120">
      <c r="A120" s="44" t="n"/>
      <c r="B120" s="11" t="n"/>
      <c r="C120" s="11" t="n"/>
      <c r="D120" s="11" t="n"/>
      <c r="E120" s="11" t="n"/>
      <c r="F120" s="11" t="n"/>
      <c r="G120" s="55" t="n"/>
      <c r="H120" s="55" t="n"/>
      <c r="I120" s="55" t="n"/>
      <c r="J120" s="56" t="n"/>
      <c r="K120" s="56" t="n"/>
      <c r="L120" s="46">
        <f>K120-J120</f>
        <v/>
      </c>
      <c r="M120" s="47" t="n"/>
      <c r="N120" s="48">
        <f>COUNTIFS(上课记录!$B:$B,A120,上课记录!$J:$J,"是")</f>
        <v/>
      </c>
      <c r="O120" s="31">
        <f>IF(F120="次卡",MAX(0,M120-N120),"—")</f>
        <v/>
      </c>
      <c r="P120" s="31">
        <f>IF(F120="期限卡",MAX(0,I120-TODAY()),"—")</f>
        <v/>
      </c>
      <c r="Q120" s="31">
        <f>IF(A120="","",IF(F120="次卡",IF(OR(K120="",K120=0,M120=0),"",K120/M120),IF(F120="期限卡",IF(AND(K120&lt;&gt;"",K120&lt;&gt;0,I120&gt;H120),K120/(I120-H120),""),"")))</f>
        <v/>
      </c>
      <c r="R120" s="31">
        <f>IF(A120="","",IF(F120="次卡",IF(OR(K120="",K120=0,M120=0),"",Q120*O120),IF(F120="期限卡",IF(AND(K120&lt;&gt;"",K120&lt;&gt;0,I120&gt;H120),Q120*P120,""),"")))</f>
        <v/>
      </c>
      <c r="S120" s="57">
        <f>IF(A120="","",IF(COUNTIFS(上课记录!$B:$B,A120,上课记录!$J:$J,"是")&gt;0,_xlfn.MAXIFS(上课记录!$D:$D,上课记录!$B:$B,A120,上课记录!$J:$J,"是"),IF(H120&gt;0,H120,"未上课")))</f>
        <v/>
      </c>
      <c r="T120" s="31">
        <f>IF(A120="",0,IF(S120="未上课",0,IF(S120="",0,TODAY()-S120)))</f>
        <v/>
      </c>
      <c r="U120" s="31">
        <f>IF(OR(AND(F120="次卡",O120=0),AND(F120="期限卡",P120=0)),"已到期",IF(T120&gt;=10,"沉睡客户",IF(T120&gt;=7,"预警客户",IF(T120=0,IF(A120="","待更新","正常"),"正常"))))</f>
        <v/>
      </c>
      <c r="V120" s="11" t="n"/>
      <c r="W120" s="11" t="n"/>
    </row>
    <row r="121">
      <c r="A121" s="44" t="n"/>
      <c r="B121" s="11" t="n"/>
      <c r="C121" s="11" t="n"/>
      <c r="D121" s="11" t="n"/>
      <c r="E121" s="11" t="n"/>
      <c r="F121" s="11" t="n"/>
      <c r="G121" s="55" t="n"/>
      <c r="H121" s="55" t="n"/>
      <c r="I121" s="55" t="n"/>
      <c r="J121" s="56" t="n"/>
      <c r="K121" s="56" t="n"/>
      <c r="L121" s="46">
        <f>K121-J121</f>
        <v/>
      </c>
      <c r="M121" s="47" t="n"/>
      <c r="N121" s="48">
        <f>COUNTIFS(上课记录!$B:$B,A121,上课记录!$J:$J,"是")</f>
        <v/>
      </c>
      <c r="O121" s="31">
        <f>IF(F121="次卡",MAX(0,M121-N121),"—")</f>
        <v/>
      </c>
      <c r="P121" s="31">
        <f>IF(F121="期限卡",MAX(0,I121-TODAY()),"—")</f>
        <v/>
      </c>
      <c r="Q121" s="31">
        <f>IF(A121="","",IF(F121="次卡",IF(OR(K121="",K121=0,M121=0),"",K121/M121),IF(F121="期限卡",IF(AND(K121&lt;&gt;"",K121&lt;&gt;0,I121&gt;H121),K121/(I121-H121),""),"")))</f>
        <v/>
      </c>
      <c r="R121" s="31">
        <f>IF(A121="","",IF(F121="次卡",IF(OR(K121="",K121=0,M121=0),"",Q121*O121),IF(F121="期限卡",IF(AND(K121&lt;&gt;"",K121&lt;&gt;0,I121&gt;H121),Q121*P121,""),"")))</f>
        <v/>
      </c>
      <c r="S121" s="57">
        <f>IF(A121="","",IF(COUNTIFS(上课记录!$B:$B,A121,上课记录!$J:$J,"是")&gt;0,_xlfn.MAXIFS(上课记录!$D:$D,上课记录!$B:$B,A121,上课记录!$J:$J,"是"),IF(H121&gt;0,H121,"未上课")))</f>
        <v/>
      </c>
      <c r="T121" s="31">
        <f>IF(A121="",0,IF(S121="未上课",0,IF(S121="",0,TODAY()-S121)))</f>
        <v/>
      </c>
      <c r="U121" s="31">
        <f>IF(OR(AND(F121="次卡",O121=0),AND(F121="期限卡",P121=0)),"已到期",IF(T121&gt;=10,"沉睡客户",IF(T121&gt;=7,"预警客户",IF(T121=0,IF(A121="","待更新","正常"),"正常"))))</f>
        <v/>
      </c>
      <c r="V121" s="11" t="n"/>
      <c r="W121" s="11" t="n"/>
    </row>
    <row r="122">
      <c r="A122" s="44" t="n"/>
      <c r="B122" s="11" t="n"/>
      <c r="C122" s="11" t="n"/>
      <c r="D122" s="11" t="n"/>
      <c r="E122" s="11" t="n"/>
      <c r="F122" s="11" t="n"/>
      <c r="G122" s="55" t="n"/>
      <c r="H122" s="55" t="n"/>
      <c r="I122" s="55" t="n"/>
      <c r="J122" s="56" t="n"/>
      <c r="K122" s="56" t="n"/>
      <c r="L122" s="46">
        <f>K122-J122</f>
        <v/>
      </c>
      <c r="M122" s="47" t="n"/>
      <c r="N122" s="48">
        <f>COUNTIFS(上课记录!$B:$B,A122,上课记录!$J:$J,"是")</f>
        <v/>
      </c>
      <c r="O122" s="31">
        <f>IF(F122="次卡",MAX(0,M122-N122),"—")</f>
        <v/>
      </c>
      <c r="P122" s="31">
        <f>IF(F122="期限卡",MAX(0,I122-TODAY()),"—")</f>
        <v/>
      </c>
      <c r="Q122" s="31">
        <f>IF(A122="","",IF(F122="次卡",IF(OR(K122="",K122=0,M122=0),"",K122/M122),IF(F122="期限卡",IF(AND(K122&lt;&gt;"",K122&lt;&gt;0,I122&gt;H122),K122/(I122-H122),""),"")))</f>
        <v/>
      </c>
      <c r="R122" s="31">
        <f>IF(A122="","",IF(F122="次卡",IF(OR(K122="",K122=0,M122=0),"",Q122*O122),IF(F122="期限卡",IF(AND(K122&lt;&gt;"",K122&lt;&gt;0,I122&gt;H122),Q122*P122,""),"")))</f>
        <v/>
      </c>
      <c r="S122" s="57">
        <f>IF(A122="","",IF(COUNTIFS(上课记录!$B:$B,A122,上课记录!$J:$J,"是")&gt;0,_xlfn.MAXIFS(上课记录!$D:$D,上课记录!$B:$B,A122,上课记录!$J:$J,"是"),IF(H122&gt;0,H122,"未上课")))</f>
        <v/>
      </c>
      <c r="T122" s="31">
        <f>IF(A122="",0,IF(S122="未上课",0,IF(S122="",0,TODAY()-S122)))</f>
        <v/>
      </c>
      <c r="U122" s="31">
        <f>IF(OR(AND(F122="次卡",O122=0),AND(F122="期限卡",P122=0)),"已到期",IF(T122&gt;=10,"沉睡客户",IF(T122&gt;=7,"预警客户",IF(T122=0,IF(A122="","待更新","正常"),"正常"))))</f>
        <v/>
      </c>
      <c r="V122" s="11" t="n"/>
      <c r="W122" s="11" t="n"/>
    </row>
    <row r="123">
      <c r="A123" s="44" t="n"/>
      <c r="B123" s="11" t="n"/>
      <c r="C123" s="11" t="n"/>
      <c r="D123" s="11" t="n"/>
      <c r="E123" s="11" t="n"/>
      <c r="F123" s="11" t="n"/>
      <c r="G123" s="55" t="n"/>
      <c r="H123" s="55" t="n"/>
      <c r="I123" s="55" t="n"/>
      <c r="J123" s="56" t="n"/>
      <c r="K123" s="56" t="n"/>
      <c r="L123" s="46">
        <f>K123-J123</f>
        <v/>
      </c>
      <c r="M123" s="47" t="n"/>
      <c r="N123" s="48">
        <f>COUNTIFS(上课记录!$B:$B,A123,上课记录!$J:$J,"是")</f>
        <v/>
      </c>
      <c r="O123" s="31">
        <f>IF(F123="次卡",MAX(0,M123-N123),"—")</f>
        <v/>
      </c>
      <c r="P123" s="31">
        <f>IF(F123="期限卡",MAX(0,I123-TODAY()),"—")</f>
        <v/>
      </c>
      <c r="Q123" s="31">
        <f>IF(A123="","",IF(F123="次卡",IF(OR(K123="",K123=0,M123=0),"",K123/M123),IF(F123="期限卡",IF(AND(K123&lt;&gt;"",K123&lt;&gt;0,I123&gt;H123),K123/(I123-H123),""),"")))</f>
        <v/>
      </c>
      <c r="R123" s="31">
        <f>IF(A123="","",IF(F123="次卡",IF(OR(K123="",K123=0,M123=0),"",Q123*O123),IF(F123="期限卡",IF(AND(K123&lt;&gt;"",K123&lt;&gt;0,I123&gt;H123),Q123*P123,""),"")))</f>
        <v/>
      </c>
      <c r="S123" s="57">
        <f>IF(A123="","",IF(COUNTIFS(上课记录!$B:$B,A123,上课记录!$J:$J,"是")&gt;0,_xlfn.MAXIFS(上课记录!$D:$D,上课记录!$B:$B,A123,上课记录!$J:$J,"是"),IF(H123&gt;0,H123,"未上课")))</f>
        <v/>
      </c>
      <c r="T123" s="31">
        <f>IF(A123="",0,IF(S123="未上课",0,IF(S123="",0,TODAY()-S123)))</f>
        <v/>
      </c>
      <c r="U123" s="31">
        <f>IF(OR(AND(F123="次卡",O123=0),AND(F123="期限卡",P123=0)),"已到期",IF(T123&gt;=10,"沉睡客户",IF(T123&gt;=7,"预警客户",IF(T123=0,IF(A123="","待更新","正常"),"正常"))))</f>
        <v/>
      </c>
      <c r="V123" s="11" t="n"/>
      <c r="W123" s="11" t="n"/>
    </row>
    <row r="124">
      <c r="A124" s="44" t="n"/>
      <c r="B124" s="11" t="n"/>
      <c r="C124" s="11" t="n"/>
      <c r="D124" s="11" t="n"/>
      <c r="E124" s="11" t="n"/>
      <c r="F124" s="11" t="n"/>
      <c r="G124" s="55" t="n"/>
      <c r="H124" s="55" t="n"/>
      <c r="I124" s="55" t="n"/>
      <c r="J124" s="56" t="n"/>
      <c r="K124" s="56" t="n"/>
      <c r="L124" s="46">
        <f>K124-J124</f>
        <v/>
      </c>
      <c r="M124" s="47" t="n"/>
      <c r="N124" s="48">
        <f>COUNTIFS(上课记录!$B:$B,A124,上课记录!$J:$J,"是")</f>
        <v/>
      </c>
      <c r="O124" s="31">
        <f>IF(F124="次卡",MAX(0,M124-N124),"—")</f>
        <v/>
      </c>
      <c r="P124" s="31">
        <f>IF(F124="期限卡",MAX(0,I124-TODAY()),"—")</f>
        <v/>
      </c>
      <c r="Q124" s="31">
        <f>IF(A124="","",IF(F124="次卡",IF(OR(K124="",K124=0,M124=0),"",K124/M124),IF(F124="期限卡",IF(AND(K124&lt;&gt;"",K124&lt;&gt;0,I124&gt;H124),K124/(I124-H124),""),"")))</f>
        <v/>
      </c>
      <c r="R124" s="31">
        <f>IF(A124="","",IF(F124="次卡",IF(OR(K124="",K124=0,M124=0),"",Q124*O124),IF(F124="期限卡",IF(AND(K124&lt;&gt;"",K124&lt;&gt;0,I124&gt;H124),Q124*P124,""),"")))</f>
        <v/>
      </c>
      <c r="S124" s="57">
        <f>IF(A124="","",IF(COUNTIFS(上课记录!$B:$B,A124,上课记录!$J:$J,"是")&gt;0,_xlfn.MAXIFS(上课记录!$D:$D,上课记录!$B:$B,A124,上课记录!$J:$J,"是"),IF(H124&gt;0,H124,"未上课")))</f>
        <v/>
      </c>
      <c r="T124" s="31">
        <f>IF(A124="",0,IF(S124="未上课",0,IF(S124="",0,TODAY()-S124)))</f>
        <v/>
      </c>
      <c r="U124" s="31">
        <f>IF(OR(AND(F124="次卡",O124=0),AND(F124="期限卡",P124=0)),"已到期",IF(T124&gt;=10,"沉睡客户",IF(T124&gt;=7,"预警客户",IF(T124=0,IF(A124="","待更新","正常"),"正常"))))</f>
        <v/>
      </c>
      <c r="V124" s="11" t="n"/>
      <c r="W124" s="11" t="n"/>
    </row>
    <row r="125">
      <c r="A125" s="44" t="n"/>
      <c r="B125" s="11" t="n"/>
      <c r="C125" s="11" t="n"/>
      <c r="D125" s="11" t="n"/>
      <c r="E125" s="11" t="n"/>
      <c r="F125" s="11" t="n"/>
      <c r="G125" s="55" t="n"/>
      <c r="H125" s="55" t="n"/>
      <c r="I125" s="55" t="n"/>
      <c r="J125" s="56" t="n"/>
      <c r="K125" s="56" t="n"/>
      <c r="L125" s="46">
        <f>K125-J125</f>
        <v/>
      </c>
      <c r="M125" s="47" t="n"/>
      <c r="N125" s="48">
        <f>COUNTIFS(上课记录!$B:$B,A125,上课记录!$J:$J,"是")</f>
        <v/>
      </c>
      <c r="O125" s="31">
        <f>IF(F125="次卡",MAX(0,M125-N125),"—")</f>
        <v/>
      </c>
      <c r="P125" s="31">
        <f>IF(F125="期限卡",MAX(0,I125-TODAY()),"—")</f>
        <v/>
      </c>
      <c r="Q125" s="31">
        <f>IF(A125="","",IF(F125="次卡",IF(OR(K125="",K125=0,M125=0),"",K125/M125),IF(F125="期限卡",IF(AND(K125&lt;&gt;"",K125&lt;&gt;0,I125&gt;H125),K125/(I125-H125),""),"")))</f>
        <v/>
      </c>
      <c r="R125" s="31">
        <f>IF(A125="","",IF(F125="次卡",IF(OR(K125="",K125=0,M125=0),"",Q125*O125),IF(F125="期限卡",IF(AND(K125&lt;&gt;"",K125&lt;&gt;0,I125&gt;H125),Q125*P125,""),"")))</f>
        <v/>
      </c>
      <c r="S125" s="57">
        <f>IF(A125="","",IF(COUNTIFS(上课记录!$B:$B,A125,上课记录!$J:$J,"是")&gt;0,_xlfn.MAXIFS(上课记录!$D:$D,上课记录!$B:$B,A125,上课记录!$J:$J,"是"),IF(H125&gt;0,H125,"未上课")))</f>
        <v/>
      </c>
      <c r="T125" s="31">
        <f>IF(A125="",0,IF(S125="未上课",0,IF(S125="",0,TODAY()-S125)))</f>
        <v/>
      </c>
      <c r="U125" s="31">
        <f>IF(OR(AND(F125="次卡",O125=0),AND(F125="期限卡",P125=0)),"已到期",IF(T125&gt;=10,"沉睡客户",IF(T125&gt;=7,"预警客户",IF(T125=0,IF(A125="","待更新","正常"),"正常"))))</f>
        <v/>
      </c>
      <c r="V125" s="11" t="n"/>
      <c r="W125" s="11" t="n"/>
    </row>
    <row r="126">
      <c r="A126" s="44" t="n"/>
      <c r="B126" s="11" t="n"/>
      <c r="C126" s="11" t="n"/>
      <c r="D126" s="11" t="n"/>
      <c r="E126" s="11" t="n"/>
      <c r="F126" s="11" t="n"/>
      <c r="G126" s="55" t="n"/>
      <c r="H126" s="55" t="n"/>
      <c r="I126" s="55" t="n"/>
      <c r="J126" s="56" t="n"/>
      <c r="K126" s="56" t="n"/>
      <c r="L126" s="46">
        <f>K126-J126</f>
        <v/>
      </c>
      <c r="M126" s="47" t="n"/>
      <c r="N126" s="48">
        <f>COUNTIFS(上课记录!$B:$B,A126,上课记录!$J:$J,"是")</f>
        <v/>
      </c>
      <c r="O126" s="31">
        <f>IF(F126="次卡",MAX(0,M126-N126),"—")</f>
        <v/>
      </c>
      <c r="P126" s="31">
        <f>IF(F126="期限卡",MAX(0,I126-TODAY()),"—")</f>
        <v/>
      </c>
      <c r="Q126" s="31">
        <f>IF(A126="","",IF(F126="次卡",IF(OR(K126="",K126=0,M126=0),"",K126/M126),IF(F126="期限卡",IF(AND(K126&lt;&gt;"",K126&lt;&gt;0,I126&gt;H126),K126/(I126-H126),""),"")))</f>
        <v/>
      </c>
      <c r="R126" s="31">
        <f>IF(A126="","",IF(F126="次卡",IF(OR(K126="",K126=0,M126=0),"",Q126*O126),IF(F126="期限卡",IF(AND(K126&lt;&gt;"",K126&lt;&gt;0,I126&gt;H126),Q126*P126,""),"")))</f>
        <v/>
      </c>
      <c r="S126" s="57">
        <f>IF(A126="","",IF(COUNTIFS(上课记录!$B:$B,A126,上课记录!$J:$J,"是")&gt;0,_xlfn.MAXIFS(上课记录!$D:$D,上课记录!$B:$B,A126,上课记录!$J:$J,"是"),IF(H126&gt;0,H126,"未上课")))</f>
        <v/>
      </c>
      <c r="T126" s="31">
        <f>IF(A126="",0,IF(S126="未上课",0,IF(S126="",0,TODAY()-S126)))</f>
        <v/>
      </c>
      <c r="U126" s="31">
        <f>IF(OR(AND(F126="次卡",O126=0),AND(F126="期限卡",P126=0)),"已到期",IF(T126&gt;=10,"沉睡客户",IF(T126&gt;=7,"预警客户",IF(T126=0,IF(A126="","待更新","正常"),"正常"))))</f>
        <v/>
      </c>
      <c r="V126" s="11" t="n"/>
      <c r="W126" s="11" t="n"/>
    </row>
    <row r="127">
      <c r="A127" s="44" t="n"/>
      <c r="B127" s="11" t="n"/>
      <c r="C127" s="11" t="n"/>
      <c r="D127" s="11" t="n"/>
      <c r="E127" s="11" t="n"/>
      <c r="F127" s="11" t="n"/>
      <c r="G127" s="55" t="n"/>
      <c r="H127" s="55" t="n"/>
      <c r="I127" s="55" t="n"/>
      <c r="J127" s="56" t="n"/>
      <c r="K127" s="56" t="n"/>
      <c r="L127" s="46">
        <f>K127-J127</f>
        <v/>
      </c>
      <c r="M127" s="47" t="n"/>
      <c r="N127" s="48">
        <f>COUNTIFS(上课记录!$B:$B,A127,上课记录!$J:$J,"是")</f>
        <v/>
      </c>
      <c r="O127" s="31">
        <f>IF(F127="次卡",MAX(0,M127-N127),"—")</f>
        <v/>
      </c>
      <c r="P127" s="31">
        <f>IF(F127="期限卡",MAX(0,I127-TODAY()),"—")</f>
        <v/>
      </c>
      <c r="Q127" s="31">
        <f>IF(A127="","",IF(F127="次卡",IF(OR(K127="",K127=0,M127=0),"",K127/M127),IF(F127="期限卡",IF(AND(K127&lt;&gt;"",K127&lt;&gt;0,I127&gt;H127),K127/(I127-H127),""),"")))</f>
        <v/>
      </c>
      <c r="R127" s="31">
        <f>IF(A127="","",IF(F127="次卡",IF(OR(K127="",K127=0,M127=0),"",Q127*O127),IF(F127="期限卡",IF(AND(K127&lt;&gt;"",K127&lt;&gt;0,I127&gt;H127),Q127*P127,""),"")))</f>
        <v/>
      </c>
      <c r="S127" s="57">
        <f>IF(A127="","",IF(COUNTIFS(上课记录!$B:$B,A127,上课记录!$J:$J,"是")&gt;0,_xlfn.MAXIFS(上课记录!$D:$D,上课记录!$B:$B,A127,上课记录!$J:$J,"是"),IF(H127&gt;0,H127,"未上课")))</f>
        <v/>
      </c>
      <c r="T127" s="31">
        <f>IF(A127="",0,IF(S127="未上课",0,IF(S127="",0,TODAY()-S127)))</f>
        <v/>
      </c>
      <c r="U127" s="31">
        <f>IF(OR(AND(F127="次卡",O127=0),AND(F127="期限卡",P127=0)),"已到期",IF(T127&gt;=10,"沉睡客户",IF(T127&gt;=7,"预警客户",IF(T127=0,IF(A127="","待更新","正常"),"正常"))))</f>
        <v/>
      </c>
      <c r="V127" s="11" t="n"/>
      <c r="W127" s="11" t="n"/>
    </row>
    <row r="128">
      <c r="A128" s="44" t="n"/>
      <c r="B128" s="11" t="n"/>
      <c r="C128" s="11" t="n"/>
      <c r="D128" s="11" t="n"/>
      <c r="E128" s="11" t="n"/>
      <c r="F128" s="11" t="n"/>
      <c r="G128" s="55" t="n"/>
      <c r="H128" s="55" t="n"/>
      <c r="I128" s="55" t="n"/>
      <c r="J128" s="56" t="n"/>
      <c r="K128" s="56" t="n"/>
      <c r="L128" s="46">
        <f>K128-J128</f>
        <v/>
      </c>
      <c r="M128" s="47" t="n"/>
      <c r="N128" s="48">
        <f>COUNTIFS(上课记录!$B:$B,A128,上课记录!$J:$J,"是")</f>
        <v/>
      </c>
      <c r="O128" s="31">
        <f>IF(F128="次卡",MAX(0,M128-N128),"—")</f>
        <v/>
      </c>
      <c r="P128" s="31">
        <f>IF(F128="期限卡",MAX(0,I128-TODAY()),"—")</f>
        <v/>
      </c>
      <c r="Q128" s="31">
        <f>IF(A128="","",IF(F128="次卡",IF(OR(K128="",K128=0,M128=0),"",K128/M128),IF(F128="期限卡",IF(AND(K128&lt;&gt;"",K128&lt;&gt;0,I128&gt;H128),K128/(I128-H128),""),"")))</f>
        <v/>
      </c>
      <c r="R128" s="31">
        <f>IF(A128="","",IF(F128="次卡",IF(OR(K128="",K128=0,M128=0),"",Q128*O128),IF(F128="期限卡",IF(AND(K128&lt;&gt;"",K128&lt;&gt;0,I128&gt;H128),Q128*P128,""),"")))</f>
        <v/>
      </c>
      <c r="S128" s="57">
        <f>IF(A128="","",IF(COUNTIFS(上课记录!$B:$B,A128,上课记录!$J:$J,"是")&gt;0,_xlfn.MAXIFS(上课记录!$D:$D,上课记录!$B:$B,A128,上课记录!$J:$J,"是"),IF(H128&gt;0,H128,"未上课")))</f>
        <v/>
      </c>
      <c r="T128" s="31">
        <f>IF(A128="",0,IF(S128="未上课",0,IF(S128="",0,TODAY()-S128)))</f>
        <v/>
      </c>
      <c r="U128" s="31">
        <f>IF(OR(AND(F128="次卡",O128=0),AND(F128="期限卡",P128=0)),"已到期",IF(T128&gt;=10,"沉睡客户",IF(T128&gt;=7,"预警客户",IF(T128=0,IF(A128="","待更新","正常"),"正常"))))</f>
        <v/>
      </c>
      <c r="V128" s="11" t="n"/>
      <c r="W128" s="11" t="n"/>
    </row>
    <row r="129">
      <c r="A129" s="44" t="n"/>
      <c r="B129" s="11" t="n"/>
      <c r="C129" s="11" t="n"/>
      <c r="D129" s="11" t="n"/>
      <c r="E129" s="11" t="n"/>
      <c r="F129" s="11" t="n"/>
      <c r="G129" s="55" t="n"/>
      <c r="H129" s="55" t="n"/>
      <c r="I129" s="55" t="n"/>
      <c r="J129" s="56" t="n"/>
      <c r="K129" s="56" t="n"/>
      <c r="L129" s="46">
        <f>K129-J129</f>
        <v/>
      </c>
      <c r="M129" s="47" t="n"/>
      <c r="N129" s="48">
        <f>COUNTIFS(上课记录!$B:$B,A129,上课记录!$J:$J,"是")</f>
        <v/>
      </c>
      <c r="O129" s="31">
        <f>IF(F129="次卡",MAX(0,M129-N129),"—")</f>
        <v/>
      </c>
      <c r="P129" s="31">
        <f>IF(F129="期限卡",MAX(0,I129-TODAY()),"—")</f>
        <v/>
      </c>
      <c r="Q129" s="31">
        <f>IF(A129="","",IF(F129="次卡",IF(OR(K129="",K129=0,M129=0),"",K129/M129),IF(F129="期限卡",IF(AND(K129&lt;&gt;"",K129&lt;&gt;0,I129&gt;H129),K129/(I129-H129),""),"")))</f>
        <v/>
      </c>
      <c r="R129" s="31">
        <f>IF(A129="","",IF(F129="次卡",IF(OR(K129="",K129=0,M129=0),"",Q129*O129),IF(F129="期限卡",IF(AND(K129&lt;&gt;"",K129&lt;&gt;0,I129&gt;H129),Q129*P129,""),"")))</f>
        <v/>
      </c>
      <c r="S129" s="57">
        <f>IF(A129="","",IF(COUNTIFS(上课记录!$B:$B,A129,上课记录!$J:$J,"是")&gt;0,_xlfn.MAXIFS(上课记录!$D:$D,上课记录!$B:$B,A129,上课记录!$J:$J,"是"),IF(H129&gt;0,H129,"未上课")))</f>
        <v/>
      </c>
      <c r="T129" s="31">
        <f>IF(A129="",0,IF(S129="未上课",0,IF(S129="",0,TODAY()-S129)))</f>
        <v/>
      </c>
      <c r="U129" s="31">
        <f>IF(OR(AND(F129="次卡",O129=0),AND(F129="期限卡",P129=0)),"已到期",IF(T129&gt;=10,"沉睡客户",IF(T129&gt;=7,"预警客户",IF(T129=0,IF(A129="","待更新","正常"),"正常"))))</f>
        <v/>
      </c>
      <c r="V129" s="11" t="n"/>
      <c r="W129" s="11" t="n"/>
    </row>
    <row r="130">
      <c r="A130" s="44" t="n"/>
      <c r="B130" s="11" t="n"/>
      <c r="C130" s="11" t="n"/>
      <c r="D130" s="11" t="n"/>
      <c r="E130" s="11" t="n"/>
      <c r="F130" s="11" t="n"/>
      <c r="G130" s="55" t="n"/>
      <c r="H130" s="55" t="n"/>
      <c r="I130" s="55" t="n"/>
      <c r="J130" s="56" t="n"/>
      <c r="K130" s="56" t="n"/>
      <c r="L130" s="46">
        <f>K130-J130</f>
        <v/>
      </c>
      <c r="M130" s="47" t="n"/>
      <c r="N130" s="48">
        <f>COUNTIFS(上课记录!$B:$B,A130,上课记录!$J:$J,"是")</f>
        <v/>
      </c>
      <c r="O130" s="31">
        <f>IF(F130="次卡",MAX(0,M130-N130),"—")</f>
        <v/>
      </c>
      <c r="P130" s="31">
        <f>IF(F130="期限卡",MAX(0,I130-TODAY()),"—")</f>
        <v/>
      </c>
      <c r="Q130" s="31">
        <f>IF(A130="","",IF(F130="次卡",IF(OR(K130="",K130=0,M130=0),"",K130/M130),IF(F130="期限卡",IF(AND(K130&lt;&gt;"",K130&lt;&gt;0,I130&gt;H130),K130/(I130-H130),""),"")))</f>
        <v/>
      </c>
      <c r="R130" s="31">
        <f>IF(A130="","",IF(F130="次卡",IF(OR(K130="",K130=0,M130=0),"",Q130*O130),IF(F130="期限卡",IF(AND(K130&lt;&gt;"",K130&lt;&gt;0,I130&gt;H130),Q130*P130,""),"")))</f>
        <v/>
      </c>
      <c r="S130" s="57">
        <f>IF(A130="","",IF(COUNTIFS(上课记录!$B:$B,A130,上课记录!$J:$J,"是")&gt;0,_xlfn.MAXIFS(上课记录!$D:$D,上课记录!$B:$B,A130,上课记录!$J:$J,"是"),IF(H130&gt;0,H130,"未上课")))</f>
        <v/>
      </c>
      <c r="T130" s="31">
        <f>IF(A130="",0,IF(S130="未上课",0,IF(S130="",0,TODAY()-S130)))</f>
        <v/>
      </c>
      <c r="U130" s="31">
        <f>IF(OR(AND(F130="次卡",O130=0),AND(F130="期限卡",P130=0)),"已到期",IF(T130&gt;=10,"沉睡客户",IF(T130&gt;=7,"预警客户",IF(T130=0,IF(A130="","待更新","正常"),"正常"))))</f>
        <v/>
      </c>
      <c r="V130" s="11" t="n"/>
      <c r="W130" s="11" t="n"/>
    </row>
    <row r="131">
      <c r="A131" s="44" t="n"/>
      <c r="B131" s="11" t="n"/>
      <c r="C131" s="11" t="n"/>
      <c r="D131" s="11" t="n"/>
      <c r="E131" s="11" t="n"/>
      <c r="F131" s="11" t="n"/>
      <c r="G131" s="55" t="n"/>
      <c r="H131" s="55" t="n"/>
      <c r="I131" s="55" t="n"/>
      <c r="J131" s="56" t="n"/>
      <c r="K131" s="56" t="n"/>
      <c r="L131" s="46">
        <f>K131-J131</f>
        <v/>
      </c>
      <c r="M131" s="47" t="n"/>
      <c r="N131" s="48">
        <f>COUNTIFS(上课记录!$B:$B,A131,上课记录!$J:$J,"是")</f>
        <v/>
      </c>
      <c r="O131" s="31">
        <f>IF(F131="次卡",MAX(0,M131-N131),"—")</f>
        <v/>
      </c>
      <c r="P131" s="31">
        <f>IF(F131="期限卡",MAX(0,I131-TODAY()),"—")</f>
        <v/>
      </c>
      <c r="Q131" s="31">
        <f>IF(A131="","",IF(F131="次卡",IF(OR(K131="",K131=0,M131=0),"",K131/M131),IF(F131="期限卡",IF(AND(K131&lt;&gt;"",K131&lt;&gt;0,I131&gt;H131),K131/(I131-H131),""),"")))</f>
        <v/>
      </c>
      <c r="R131" s="31">
        <f>IF(A131="","",IF(F131="次卡",IF(OR(K131="",K131=0,M131=0),"",Q131*O131),IF(F131="期限卡",IF(AND(K131&lt;&gt;"",K131&lt;&gt;0,I131&gt;H131),Q131*P131,""),"")))</f>
        <v/>
      </c>
      <c r="S131" s="57">
        <f>IF(A131="","",IF(COUNTIFS(上课记录!$B:$B,A131,上课记录!$J:$J,"是")&gt;0,_xlfn.MAXIFS(上课记录!$D:$D,上课记录!$B:$B,A131,上课记录!$J:$J,"是"),IF(H131&gt;0,H131,"未上课")))</f>
        <v/>
      </c>
      <c r="T131" s="31">
        <f>IF(A131="",0,IF(S131="未上课",0,IF(S131="",0,TODAY()-S131)))</f>
        <v/>
      </c>
      <c r="U131" s="31">
        <f>IF(OR(AND(F131="次卡",O131=0),AND(F131="期限卡",P131=0)),"已到期",IF(T131&gt;=10,"沉睡客户",IF(T131&gt;=7,"预警客户",IF(T131=0,IF(A131="","待更新","正常"),"正常"))))</f>
        <v/>
      </c>
      <c r="V131" s="11" t="n"/>
      <c r="W131" s="11" t="n"/>
    </row>
    <row r="132">
      <c r="A132" s="44" t="n"/>
      <c r="B132" s="11" t="n"/>
      <c r="C132" s="11" t="n"/>
      <c r="D132" s="11" t="n"/>
      <c r="E132" s="11" t="n"/>
      <c r="F132" s="11" t="n"/>
      <c r="G132" s="55" t="n"/>
      <c r="H132" s="55" t="n"/>
      <c r="I132" s="55" t="n"/>
      <c r="J132" s="56" t="n"/>
      <c r="K132" s="56" t="n"/>
      <c r="L132" s="46">
        <f>K132-J132</f>
        <v/>
      </c>
      <c r="M132" s="47" t="n"/>
      <c r="N132" s="48">
        <f>COUNTIFS(上课记录!$B:$B,A132,上课记录!$J:$J,"是")</f>
        <v/>
      </c>
      <c r="O132" s="31">
        <f>IF(F132="次卡",MAX(0,M132-N132),"—")</f>
        <v/>
      </c>
      <c r="P132" s="31">
        <f>IF(F132="期限卡",MAX(0,I132-TODAY()),"—")</f>
        <v/>
      </c>
      <c r="Q132" s="31">
        <f>IF(A132="","",IF(F132="次卡",IF(OR(K132="",K132=0,M132=0),"",K132/M132),IF(F132="期限卡",IF(AND(K132&lt;&gt;"",K132&lt;&gt;0,I132&gt;H132),K132/(I132-H132),""),"")))</f>
        <v/>
      </c>
      <c r="R132" s="31">
        <f>IF(A132="","",IF(F132="次卡",IF(OR(K132="",K132=0,M132=0),"",Q132*O132),IF(F132="期限卡",IF(AND(K132&lt;&gt;"",K132&lt;&gt;0,I132&gt;H132),Q132*P132,""),"")))</f>
        <v/>
      </c>
      <c r="S132" s="57">
        <f>IF(A132="","",IF(COUNTIFS(上课记录!$B:$B,A132,上课记录!$J:$J,"是")&gt;0,_xlfn.MAXIFS(上课记录!$D:$D,上课记录!$B:$B,A132,上课记录!$J:$J,"是"),IF(H132&gt;0,H132,"未上课")))</f>
        <v/>
      </c>
      <c r="T132" s="31">
        <f>IF(A132="",0,IF(S132="未上课",0,IF(S132="",0,TODAY()-S132)))</f>
        <v/>
      </c>
      <c r="U132" s="31">
        <f>IF(OR(AND(F132="次卡",O132=0),AND(F132="期限卡",P132=0)),"已到期",IF(T132&gt;=10,"沉睡客户",IF(T132&gt;=7,"预警客户",IF(T132=0,IF(A132="","待更新","正常"),"正常"))))</f>
        <v/>
      </c>
      <c r="V132" s="11" t="n"/>
      <c r="W132" s="11" t="n"/>
    </row>
    <row r="133">
      <c r="A133" s="44" t="n"/>
      <c r="B133" s="11" t="n"/>
      <c r="C133" s="11" t="n"/>
      <c r="D133" s="11" t="n"/>
      <c r="E133" s="11" t="n"/>
      <c r="F133" s="11" t="n"/>
      <c r="G133" s="55" t="n"/>
      <c r="H133" s="55" t="n"/>
      <c r="I133" s="55" t="n"/>
      <c r="J133" s="56" t="n"/>
      <c r="K133" s="56" t="n"/>
      <c r="L133" s="46">
        <f>K133-J133</f>
        <v/>
      </c>
      <c r="M133" s="47" t="n"/>
      <c r="N133" s="48">
        <f>COUNTIFS(上课记录!$B:$B,A133,上课记录!$J:$J,"是")</f>
        <v/>
      </c>
      <c r="O133" s="31">
        <f>IF(F133="次卡",MAX(0,M133-N133),"—")</f>
        <v/>
      </c>
      <c r="P133" s="31">
        <f>IF(F133="期限卡",MAX(0,I133-TODAY()),"—")</f>
        <v/>
      </c>
      <c r="Q133" s="31">
        <f>IF(A133="","",IF(F133="次卡",IF(OR(K133="",K133=0,M133=0),"",K133/M133),IF(F133="期限卡",IF(AND(K133&lt;&gt;"",K133&lt;&gt;0,I133&gt;H133),K133/(I133-H133),""),"")))</f>
        <v/>
      </c>
      <c r="R133" s="31">
        <f>IF(A133="","",IF(F133="次卡",IF(OR(K133="",K133=0,M133=0),"",Q133*O133),IF(F133="期限卡",IF(AND(K133&lt;&gt;"",K133&lt;&gt;0,I133&gt;H133),Q133*P133,""),"")))</f>
        <v/>
      </c>
      <c r="S133" s="57">
        <f>IF(A133="","",IF(COUNTIFS(上课记录!$B:$B,A133,上课记录!$J:$J,"是")&gt;0,_xlfn.MAXIFS(上课记录!$D:$D,上课记录!$B:$B,A133,上课记录!$J:$J,"是"),IF(H133&gt;0,H133,"未上课")))</f>
        <v/>
      </c>
      <c r="T133" s="31">
        <f>IF(A133="",0,IF(S133="未上课",0,IF(S133="",0,TODAY()-S133)))</f>
        <v/>
      </c>
      <c r="U133" s="31">
        <f>IF(OR(AND(F133="次卡",O133=0),AND(F133="期限卡",P133=0)),"已到期",IF(T133&gt;=10,"沉睡客户",IF(T133&gt;=7,"预警客户",IF(T133=0,IF(A133="","待更新","正常"),"正常"))))</f>
        <v/>
      </c>
      <c r="V133" s="11" t="n"/>
      <c r="W133" s="11" t="n"/>
    </row>
    <row r="134">
      <c r="A134" s="44" t="n"/>
      <c r="B134" s="11" t="n"/>
      <c r="C134" s="11" t="n"/>
      <c r="D134" s="11" t="n"/>
      <c r="E134" s="11" t="n"/>
      <c r="F134" s="11" t="n"/>
      <c r="G134" s="55" t="n"/>
      <c r="H134" s="55" t="n"/>
      <c r="I134" s="55" t="n"/>
      <c r="J134" s="56" t="n"/>
      <c r="K134" s="56" t="n"/>
      <c r="L134" s="46">
        <f>K134-J134</f>
        <v/>
      </c>
      <c r="M134" s="47" t="n"/>
      <c r="N134" s="48">
        <f>COUNTIFS(上课记录!$B:$B,A134,上课记录!$J:$J,"是")</f>
        <v/>
      </c>
      <c r="O134" s="31">
        <f>IF(F134="次卡",MAX(0,M134-N134),"—")</f>
        <v/>
      </c>
      <c r="P134" s="31">
        <f>IF(F134="期限卡",MAX(0,I134-TODAY()),"—")</f>
        <v/>
      </c>
      <c r="Q134" s="31">
        <f>IF(A134="","",IF(F134="次卡",IF(OR(K134="",K134=0,M134=0),"",K134/M134),IF(F134="期限卡",IF(AND(K134&lt;&gt;"",K134&lt;&gt;0,I134&gt;H134),K134/(I134-H134),""),"")))</f>
        <v/>
      </c>
      <c r="R134" s="31">
        <f>IF(A134="","",IF(F134="次卡",IF(OR(K134="",K134=0,M134=0),"",Q134*O134),IF(F134="期限卡",IF(AND(K134&lt;&gt;"",K134&lt;&gt;0,I134&gt;H134),Q134*P134,""),"")))</f>
        <v/>
      </c>
      <c r="S134" s="57">
        <f>IF(A134="","",IF(COUNTIFS(上课记录!$B:$B,A134,上课记录!$J:$J,"是")&gt;0,_xlfn.MAXIFS(上课记录!$D:$D,上课记录!$B:$B,A134,上课记录!$J:$J,"是"),IF(H134&gt;0,H134,"未上课")))</f>
        <v/>
      </c>
      <c r="T134" s="31">
        <f>IF(A134="",0,IF(S134="未上课",0,IF(S134="",0,TODAY()-S134)))</f>
        <v/>
      </c>
      <c r="U134" s="31">
        <f>IF(OR(AND(F134="次卡",O134=0),AND(F134="期限卡",P134=0)),"已到期",IF(T134&gt;=10,"沉睡客户",IF(T134&gt;=7,"预警客户",IF(T134=0,IF(A134="","待更新","正常"),"正常"))))</f>
        <v/>
      </c>
      <c r="V134" s="11" t="n"/>
      <c r="W134" s="11" t="n"/>
    </row>
    <row r="135">
      <c r="A135" s="44" t="n"/>
      <c r="B135" s="11" t="n"/>
      <c r="C135" s="11" t="n"/>
      <c r="D135" s="11" t="n"/>
      <c r="E135" s="11" t="n"/>
      <c r="F135" s="11" t="n"/>
      <c r="G135" s="55" t="n"/>
      <c r="H135" s="55" t="n"/>
      <c r="I135" s="55" t="n"/>
      <c r="J135" s="56" t="n"/>
      <c r="K135" s="56" t="n"/>
      <c r="L135" s="46">
        <f>K135-J135</f>
        <v/>
      </c>
      <c r="M135" s="47" t="n"/>
      <c r="N135" s="48">
        <f>COUNTIFS(上课记录!$B:$B,A135,上课记录!$J:$J,"是")</f>
        <v/>
      </c>
      <c r="O135" s="31">
        <f>IF(F135="次卡",MAX(0,M135-N135),"—")</f>
        <v/>
      </c>
      <c r="P135" s="31">
        <f>IF(F135="期限卡",MAX(0,I135-TODAY()),"—")</f>
        <v/>
      </c>
      <c r="Q135" s="31">
        <f>IF(A135="","",IF(F135="次卡",IF(OR(K135="",K135=0,M135=0),"",K135/M135),IF(F135="期限卡",IF(AND(K135&lt;&gt;"",K135&lt;&gt;0,I135&gt;H135),K135/(I135-H135),""),"")))</f>
        <v/>
      </c>
      <c r="R135" s="31">
        <f>IF(A135="","",IF(F135="次卡",IF(OR(K135="",K135=0,M135=0),"",Q135*O135),IF(F135="期限卡",IF(AND(K135&lt;&gt;"",K135&lt;&gt;0,I135&gt;H135),Q135*P135,""),"")))</f>
        <v/>
      </c>
      <c r="S135" s="57">
        <f>IF(A135="","",IF(COUNTIFS(上课记录!$B:$B,A135,上课记录!$J:$J,"是")&gt;0,_xlfn.MAXIFS(上课记录!$D:$D,上课记录!$B:$B,A135,上课记录!$J:$J,"是"),IF(H135&gt;0,H135,"未上课")))</f>
        <v/>
      </c>
      <c r="T135" s="31">
        <f>IF(A135="",0,IF(S135="未上课",0,IF(S135="",0,TODAY()-S135)))</f>
        <v/>
      </c>
      <c r="U135" s="31">
        <f>IF(OR(AND(F135="次卡",O135=0),AND(F135="期限卡",P135=0)),"已到期",IF(T135&gt;=10,"沉睡客户",IF(T135&gt;=7,"预警客户",IF(T135=0,IF(A135="","待更新","正常"),"正常"))))</f>
        <v/>
      </c>
      <c r="V135" s="11" t="n"/>
      <c r="W135" s="11" t="n"/>
    </row>
    <row r="136">
      <c r="A136" s="44" t="n"/>
      <c r="B136" s="11" t="n"/>
      <c r="C136" s="11" t="n"/>
      <c r="D136" s="11" t="n"/>
      <c r="E136" s="11" t="n"/>
      <c r="F136" s="11" t="n"/>
      <c r="G136" s="55" t="n"/>
      <c r="H136" s="55" t="n"/>
      <c r="I136" s="55" t="n"/>
      <c r="J136" s="56" t="n"/>
      <c r="K136" s="56" t="n"/>
      <c r="L136" s="46">
        <f>K136-J136</f>
        <v/>
      </c>
      <c r="M136" s="47" t="n"/>
      <c r="N136" s="48">
        <f>COUNTIFS(上课记录!$B:$B,A136,上课记录!$J:$J,"是")</f>
        <v/>
      </c>
      <c r="O136" s="31">
        <f>IF(F136="次卡",MAX(0,M136-N136),"—")</f>
        <v/>
      </c>
      <c r="P136" s="31">
        <f>IF(F136="期限卡",MAX(0,I136-TODAY()),"—")</f>
        <v/>
      </c>
      <c r="Q136" s="31">
        <f>IF(A136="","",IF(F136="次卡",IF(OR(K136="",K136=0,M136=0),"",K136/M136),IF(F136="期限卡",IF(AND(K136&lt;&gt;"",K136&lt;&gt;0,I136&gt;H136),K136/(I136-H136),""),"")))</f>
        <v/>
      </c>
      <c r="R136" s="31">
        <f>IF(A136="","",IF(F136="次卡",IF(OR(K136="",K136=0,M136=0),"",Q136*O136),IF(F136="期限卡",IF(AND(K136&lt;&gt;"",K136&lt;&gt;0,I136&gt;H136),Q136*P136,""),"")))</f>
        <v/>
      </c>
      <c r="S136" s="57">
        <f>IF(A136="","",IF(COUNTIFS(上课记录!$B:$B,A136,上课记录!$J:$J,"是")&gt;0,_xlfn.MAXIFS(上课记录!$D:$D,上课记录!$B:$B,A136,上课记录!$J:$J,"是"),IF(H136&gt;0,H136,"未上课")))</f>
        <v/>
      </c>
      <c r="T136" s="31">
        <f>IF(A136="",0,IF(S136="未上课",0,IF(S136="",0,TODAY()-S136)))</f>
        <v/>
      </c>
      <c r="U136" s="31">
        <f>IF(OR(AND(F136="次卡",O136=0),AND(F136="期限卡",P136=0)),"已到期",IF(T136&gt;=10,"沉睡客户",IF(T136&gt;=7,"预警客户",IF(T136=0,IF(A136="","待更新","正常"),"正常"))))</f>
        <v/>
      </c>
      <c r="V136" s="11" t="n"/>
      <c r="W136" s="11" t="n"/>
    </row>
    <row r="137">
      <c r="A137" s="44" t="n"/>
      <c r="B137" s="11" t="n"/>
      <c r="C137" s="11" t="n"/>
      <c r="D137" s="11" t="n"/>
      <c r="E137" s="11" t="n"/>
      <c r="F137" s="11" t="n"/>
      <c r="G137" s="55" t="n"/>
      <c r="H137" s="55" t="n"/>
      <c r="I137" s="55" t="n"/>
      <c r="J137" s="56" t="n"/>
      <c r="K137" s="56" t="n"/>
      <c r="L137" s="46">
        <f>K137-J137</f>
        <v/>
      </c>
      <c r="M137" s="47" t="n"/>
      <c r="N137" s="48">
        <f>COUNTIFS(上课记录!$B:$B,A137,上课记录!$J:$J,"是")</f>
        <v/>
      </c>
      <c r="O137" s="31">
        <f>IF(F137="次卡",MAX(0,M137-N137),"—")</f>
        <v/>
      </c>
      <c r="P137" s="31">
        <f>IF(F137="期限卡",MAX(0,I137-TODAY()),"—")</f>
        <v/>
      </c>
      <c r="Q137" s="31">
        <f>IF(A137="","",IF(F137="次卡",IF(OR(K137="",K137=0,M137=0),"",K137/M137),IF(F137="期限卡",IF(AND(K137&lt;&gt;"",K137&lt;&gt;0,I137&gt;H137),K137/(I137-H137),""),"")))</f>
        <v/>
      </c>
      <c r="R137" s="31">
        <f>IF(A137="","",IF(F137="次卡",IF(OR(K137="",K137=0,M137=0),"",Q137*O137),IF(F137="期限卡",IF(AND(K137&lt;&gt;"",K137&lt;&gt;0,I137&gt;H137),Q137*P137,""),"")))</f>
        <v/>
      </c>
      <c r="S137" s="57">
        <f>IF(A137="","",IF(COUNTIFS(上课记录!$B:$B,A137,上课记录!$J:$J,"是")&gt;0,_xlfn.MAXIFS(上课记录!$D:$D,上课记录!$B:$B,A137,上课记录!$J:$J,"是"),IF(H137&gt;0,H137,"未上课")))</f>
        <v/>
      </c>
      <c r="T137" s="31">
        <f>IF(A137="",0,IF(S137="未上课",0,IF(S137="",0,TODAY()-S137)))</f>
        <v/>
      </c>
      <c r="U137" s="31">
        <f>IF(OR(AND(F137="次卡",O137=0),AND(F137="期限卡",P137=0)),"已到期",IF(T137&gt;=10,"沉睡客户",IF(T137&gt;=7,"预警客户",IF(T137=0,IF(A137="","待更新","正常"),"正常"))))</f>
        <v/>
      </c>
      <c r="V137" s="11" t="n"/>
      <c r="W137" s="11" t="n"/>
    </row>
    <row r="138">
      <c r="A138" s="44" t="n"/>
      <c r="B138" s="11" t="n"/>
      <c r="C138" s="11" t="n"/>
      <c r="D138" s="11" t="n"/>
      <c r="E138" s="11" t="n"/>
      <c r="F138" s="11" t="n"/>
      <c r="G138" s="55" t="n"/>
      <c r="H138" s="55" t="n"/>
      <c r="I138" s="55" t="n"/>
      <c r="J138" s="56" t="n"/>
      <c r="K138" s="56" t="n"/>
      <c r="L138" s="46">
        <f>K138-J138</f>
        <v/>
      </c>
      <c r="M138" s="47" t="n"/>
      <c r="N138" s="48">
        <f>COUNTIFS(上课记录!$B:$B,A138,上课记录!$J:$J,"是")</f>
        <v/>
      </c>
      <c r="O138" s="31">
        <f>IF(F138="次卡",MAX(0,M138-N138),"—")</f>
        <v/>
      </c>
      <c r="P138" s="31">
        <f>IF(F138="期限卡",MAX(0,I138-TODAY()),"—")</f>
        <v/>
      </c>
      <c r="Q138" s="31">
        <f>IF(A138="","",IF(F138="次卡",IF(OR(K138="",K138=0,M138=0),"",K138/M138),IF(F138="期限卡",IF(AND(K138&lt;&gt;"",K138&lt;&gt;0,I138&gt;H138),K138/(I138-H138),""),"")))</f>
        <v/>
      </c>
      <c r="R138" s="31">
        <f>IF(A138="","",IF(F138="次卡",IF(OR(K138="",K138=0,M138=0),"",Q138*O138),IF(F138="期限卡",IF(AND(K138&lt;&gt;"",K138&lt;&gt;0,I138&gt;H138),Q138*P138,""),"")))</f>
        <v/>
      </c>
      <c r="S138" s="57">
        <f>IF(A138="","",IF(COUNTIFS(上课记录!$B:$B,A138,上课记录!$J:$J,"是")&gt;0,_xlfn.MAXIFS(上课记录!$D:$D,上课记录!$B:$B,A138,上课记录!$J:$J,"是"),IF(H138&gt;0,H138,"未上课")))</f>
        <v/>
      </c>
      <c r="T138" s="31">
        <f>IF(A138="",0,IF(S138="未上课",0,IF(S138="",0,TODAY()-S138)))</f>
        <v/>
      </c>
      <c r="U138" s="31">
        <f>IF(OR(AND(F138="次卡",O138=0),AND(F138="期限卡",P138=0)),"已到期",IF(T138&gt;=10,"沉睡客户",IF(T138&gt;=7,"预警客户",IF(T138=0,IF(A138="","待更新","正常"),"正常"))))</f>
        <v/>
      </c>
      <c r="V138" s="11" t="n"/>
      <c r="W138" s="11" t="n"/>
    </row>
    <row r="139">
      <c r="A139" s="44" t="n"/>
      <c r="B139" s="11" t="n"/>
      <c r="C139" s="11" t="n"/>
      <c r="D139" s="11" t="n"/>
      <c r="E139" s="11" t="n"/>
      <c r="F139" s="11" t="n"/>
      <c r="G139" s="55" t="n"/>
      <c r="H139" s="55" t="n"/>
      <c r="I139" s="55" t="n"/>
      <c r="J139" s="56" t="n"/>
      <c r="K139" s="56" t="n"/>
      <c r="L139" s="46">
        <f>K139-J139</f>
        <v/>
      </c>
      <c r="M139" s="47" t="n"/>
      <c r="N139" s="48">
        <f>COUNTIFS(上课记录!$B:$B,A139,上课记录!$J:$J,"是")</f>
        <v/>
      </c>
      <c r="O139" s="31">
        <f>IF(F139="次卡",MAX(0,M139-N139),"—")</f>
        <v/>
      </c>
      <c r="P139" s="31">
        <f>IF(F139="期限卡",MAX(0,I139-TODAY()),"—")</f>
        <v/>
      </c>
      <c r="Q139" s="31">
        <f>IF(A139="","",IF(F139="次卡",IF(OR(K139="",K139=0,M139=0),"",K139/M139),IF(F139="期限卡",IF(AND(K139&lt;&gt;"",K139&lt;&gt;0,I139&gt;H139),K139/(I139-H139),""),"")))</f>
        <v/>
      </c>
      <c r="R139" s="31">
        <f>IF(A139="","",IF(F139="次卡",IF(OR(K139="",K139=0,M139=0),"",Q139*O139),IF(F139="期限卡",IF(AND(K139&lt;&gt;"",K139&lt;&gt;0,I139&gt;H139),Q139*P139,""),"")))</f>
        <v/>
      </c>
      <c r="S139" s="57">
        <f>IF(A139="","",IF(COUNTIFS(上课记录!$B:$B,A139,上课记录!$J:$J,"是")&gt;0,_xlfn.MAXIFS(上课记录!$D:$D,上课记录!$B:$B,A139,上课记录!$J:$J,"是"),IF(H139&gt;0,H139,"未上课")))</f>
        <v/>
      </c>
      <c r="T139" s="31">
        <f>IF(A139="",0,IF(S139="未上课",0,IF(S139="",0,TODAY()-S139)))</f>
        <v/>
      </c>
      <c r="U139" s="31">
        <f>IF(OR(AND(F139="次卡",O139=0),AND(F139="期限卡",P139=0)),"已到期",IF(T139&gt;=10,"沉睡客户",IF(T139&gt;=7,"预警客户",IF(T139=0,IF(A139="","待更新","正常"),"正常"))))</f>
        <v/>
      </c>
      <c r="V139" s="11" t="n"/>
      <c r="W139" s="11" t="n"/>
    </row>
    <row r="140">
      <c r="A140" s="44" t="n"/>
      <c r="B140" s="11" t="n"/>
      <c r="C140" s="11" t="n"/>
      <c r="D140" s="11" t="n"/>
      <c r="E140" s="11" t="n"/>
      <c r="F140" s="11" t="n"/>
      <c r="G140" s="55" t="n"/>
      <c r="H140" s="55" t="n"/>
      <c r="I140" s="55" t="n"/>
      <c r="J140" s="56" t="n"/>
      <c r="K140" s="56" t="n"/>
      <c r="L140" s="46">
        <f>K140-J140</f>
        <v/>
      </c>
      <c r="M140" s="47" t="n"/>
      <c r="N140" s="48">
        <f>COUNTIFS(上课记录!$B:$B,A140,上课记录!$J:$J,"是")</f>
        <v/>
      </c>
      <c r="O140" s="31">
        <f>IF(F140="次卡",MAX(0,M140-N140),"—")</f>
        <v/>
      </c>
      <c r="P140" s="31">
        <f>IF(F140="期限卡",MAX(0,I140-TODAY()),"—")</f>
        <v/>
      </c>
      <c r="Q140" s="31">
        <f>IF(A140="","",IF(F140="次卡",IF(OR(K140="",K140=0,M140=0),"",K140/M140),IF(F140="期限卡",IF(AND(K140&lt;&gt;"",K140&lt;&gt;0,I140&gt;H140),K140/(I140-H140),""),"")))</f>
        <v/>
      </c>
      <c r="R140" s="31">
        <f>IF(A140="","",IF(F140="次卡",IF(OR(K140="",K140=0,M140=0),"",Q140*O140),IF(F140="期限卡",IF(AND(K140&lt;&gt;"",K140&lt;&gt;0,I140&gt;H140),Q140*P140,""),"")))</f>
        <v/>
      </c>
      <c r="S140" s="57">
        <f>IF(A140="","",IF(COUNTIFS(上课记录!$B:$B,A140,上课记录!$J:$J,"是")&gt;0,_xlfn.MAXIFS(上课记录!$D:$D,上课记录!$B:$B,A140,上课记录!$J:$J,"是"),IF(H140&gt;0,H140,"未上课")))</f>
        <v/>
      </c>
      <c r="T140" s="31">
        <f>IF(A140="",0,IF(S140="未上课",0,IF(S140="",0,TODAY()-S140)))</f>
        <v/>
      </c>
      <c r="U140" s="31">
        <f>IF(OR(AND(F140="次卡",O140=0),AND(F140="期限卡",P140=0)),"已到期",IF(T140&gt;=10,"沉睡客户",IF(T140&gt;=7,"预警客户",IF(T140=0,IF(A140="","待更新","正常"),"正常"))))</f>
        <v/>
      </c>
      <c r="V140" s="11" t="n"/>
      <c r="W140" s="11" t="n"/>
    </row>
    <row r="141">
      <c r="A141" s="44" t="n"/>
      <c r="B141" s="11" t="n"/>
      <c r="C141" s="11" t="n"/>
      <c r="D141" s="11" t="n"/>
      <c r="E141" s="11" t="n"/>
      <c r="F141" s="11" t="n"/>
      <c r="G141" s="55" t="n"/>
      <c r="H141" s="55" t="n"/>
      <c r="I141" s="55" t="n"/>
      <c r="J141" s="56" t="n"/>
      <c r="K141" s="56" t="n"/>
      <c r="L141" s="46">
        <f>K141-J141</f>
        <v/>
      </c>
      <c r="M141" s="47" t="n"/>
      <c r="N141" s="48">
        <f>COUNTIFS(上课记录!$B:$B,A141,上课记录!$J:$J,"是")</f>
        <v/>
      </c>
      <c r="O141" s="31">
        <f>IF(F141="次卡",MAX(0,M141-N141),"—")</f>
        <v/>
      </c>
      <c r="P141" s="31">
        <f>IF(F141="期限卡",MAX(0,I141-TODAY()),"—")</f>
        <v/>
      </c>
      <c r="Q141" s="31">
        <f>IF(A141="","",IF(F141="次卡",IF(OR(K141="",K141=0,M141=0),"",K141/M141),IF(F141="期限卡",IF(AND(K141&lt;&gt;"",K141&lt;&gt;0,I141&gt;H141),K141/(I141-H141),""),"")))</f>
        <v/>
      </c>
      <c r="R141" s="31">
        <f>IF(A141="","",IF(F141="次卡",IF(OR(K141="",K141=0,M141=0),"",Q141*O141),IF(F141="期限卡",IF(AND(K141&lt;&gt;"",K141&lt;&gt;0,I141&gt;H141),Q141*P141,""),"")))</f>
        <v/>
      </c>
      <c r="S141" s="57">
        <f>IF(A141="","",IF(COUNTIFS(上课记录!$B:$B,A141,上课记录!$J:$J,"是")&gt;0,_xlfn.MAXIFS(上课记录!$D:$D,上课记录!$B:$B,A141,上课记录!$J:$J,"是"),IF(H141&gt;0,H141,"未上课")))</f>
        <v/>
      </c>
      <c r="T141" s="31">
        <f>IF(A141="",0,IF(S141="未上课",0,IF(S141="",0,TODAY()-S141)))</f>
        <v/>
      </c>
      <c r="U141" s="31">
        <f>IF(OR(AND(F141="次卡",O141=0),AND(F141="期限卡",P141=0)),"已到期",IF(T141&gt;=10,"沉睡客户",IF(T141&gt;=7,"预警客户",IF(T141=0,IF(A141="","待更新","正常"),"正常"))))</f>
        <v/>
      </c>
      <c r="V141" s="11" t="n"/>
      <c r="W141" s="11" t="n"/>
    </row>
    <row r="142">
      <c r="A142" s="44" t="n"/>
      <c r="B142" s="11" t="n"/>
      <c r="C142" s="11" t="n"/>
      <c r="D142" s="11" t="n"/>
      <c r="E142" s="11" t="n"/>
      <c r="F142" s="11" t="n"/>
      <c r="G142" s="55" t="n"/>
      <c r="H142" s="55" t="n"/>
      <c r="I142" s="55" t="n"/>
      <c r="J142" s="56" t="n"/>
      <c r="K142" s="56" t="n"/>
      <c r="L142" s="46">
        <f>K142-J142</f>
        <v/>
      </c>
      <c r="M142" s="47" t="n"/>
      <c r="N142" s="48">
        <f>COUNTIFS(上课记录!$B:$B,A142,上课记录!$J:$J,"是")</f>
        <v/>
      </c>
      <c r="O142" s="31">
        <f>IF(F142="次卡",MAX(0,M142-N142),"—")</f>
        <v/>
      </c>
      <c r="P142" s="31">
        <f>IF(F142="期限卡",MAX(0,I142-TODAY()),"—")</f>
        <v/>
      </c>
      <c r="Q142" s="31">
        <f>IF(A142="","",IF(F142="次卡",IF(OR(K142="",K142=0,M142=0),"",K142/M142),IF(F142="期限卡",IF(AND(K142&lt;&gt;"",K142&lt;&gt;0,I142&gt;H142),K142/(I142-H142),""),"")))</f>
        <v/>
      </c>
      <c r="R142" s="31">
        <f>IF(A142="","",IF(F142="次卡",IF(OR(K142="",K142=0,M142=0),"",Q142*O142),IF(F142="期限卡",IF(AND(K142&lt;&gt;"",K142&lt;&gt;0,I142&gt;H142),Q142*P142,""),"")))</f>
        <v/>
      </c>
      <c r="S142" s="57">
        <f>IF(A142="","",IF(COUNTIFS(上课记录!$B:$B,A142,上课记录!$J:$J,"是")&gt;0,_xlfn.MAXIFS(上课记录!$D:$D,上课记录!$B:$B,A142,上课记录!$J:$J,"是"),IF(H142&gt;0,H142,"未上课")))</f>
        <v/>
      </c>
      <c r="T142" s="31">
        <f>IF(A142="",0,IF(S142="未上课",0,IF(S142="",0,TODAY()-S142)))</f>
        <v/>
      </c>
      <c r="U142" s="31">
        <f>IF(OR(AND(F142="次卡",O142=0),AND(F142="期限卡",P142=0)),"已到期",IF(T142&gt;=10,"沉睡客户",IF(T142&gt;=7,"预警客户",IF(T142=0,IF(A142="","待更新","正常"),"正常"))))</f>
        <v/>
      </c>
      <c r="V142" s="11" t="n"/>
      <c r="W142" s="11" t="n"/>
    </row>
    <row r="143">
      <c r="A143" s="44" t="n"/>
      <c r="B143" s="11" t="n"/>
      <c r="C143" s="11" t="n"/>
      <c r="D143" s="11" t="n"/>
      <c r="E143" s="11" t="n"/>
      <c r="F143" s="11" t="n"/>
      <c r="G143" s="55" t="n"/>
      <c r="H143" s="55" t="n"/>
      <c r="I143" s="55" t="n"/>
      <c r="J143" s="56" t="n"/>
      <c r="K143" s="56" t="n"/>
      <c r="L143" s="46">
        <f>K143-J143</f>
        <v/>
      </c>
      <c r="M143" s="47" t="n"/>
      <c r="N143" s="48">
        <f>COUNTIFS(上课记录!$B:$B,A143,上课记录!$J:$J,"是")</f>
        <v/>
      </c>
      <c r="O143" s="31">
        <f>IF(F143="次卡",MAX(0,M143-N143),"—")</f>
        <v/>
      </c>
      <c r="P143" s="31">
        <f>IF(F143="期限卡",MAX(0,I143-TODAY()),"—")</f>
        <v/>
      </c>
      <c r="Q143" s="31">
        <f>IF(A143="","",IF(F143="次卡",IF(OR(K143="",K143=0,M143=0),"",K143/M143),IF(F143="期限卡",IF(AND(K143&lt;&gt;"",K143&lt;&gt;0,I143&gt;H143),K143/(I143-H143),""),"")))</f>
        <v/>
      </c>
      <c r="R143" s="31">
        <f>IF(A143="","",IF(F143="次卡",IF(OR(K143="",K143=0,M143=0),"",Q143*O143),IF(F143="期限卡",IF(AND(K143&lt;&gt;"",K143&lt;&gt;0,I143&gt;H143),Q143*P143,""),"")))</f>
        <v/>
      </c>
      <c r="S143" s="57">
        <f>IF(A143="","",IF(COUNTIFS(上课记录!$B:$B,A143,上课记录!$J:$J,"是")&gt;0,_xlfn.MAXIFS(上课记录!$D:$D,上课记录!$B:$B,A143,上课记录!$J:$J,"是"),IF(H143&gt;0,H143,"未上课")))</f>
        <v/>
      </c>
      <c r="T143" s="31">
        <f>IF(A143="",0,IF(S143="未上课",0,IF(S143="",0,TODAY()-S143)))</f>
        <v/>
      </c>
      <c r="U143" s="31">
        <f>IF(OR(AND(F143="次卡",O143=0),AND(F143="期限卡",P143=0)),"已到期",IF(T143&gt;=10,"沉睡客户",IF(T143&gt;=7,"预警客户",IF(T143=0,IF(A143="","待更新","正常"),"正常"))))</f>
        <v/>
      </c>
      <c r="V143" s="11" t="n"/>
      <c r="W143" s="11" t="n"/>
    </row>
    <row r="144">
      <c r="A144" s="44" t="n"/>
      <c r="B144" s="11" t="n"/>
      <c r="C144" s="11" t="n"/>
      <c r="D144" s="11" t="n"/>
      <c r="E144" s="11" t="n"/>
      <c r="F144" s="11" t="n"/>
      <c r="G144" s="55" t="n"/>
      <c r="H144" s="55" t="n"/>
      <c r="I144" s="55" t="n"/>
      <c r="J144" s="56" t="n"/>
      <c r="K144" s="56" t="n"/>
      <c r="L144" s="46">
        <f>K144-J144</f>
        <v/>
      </c>
      <c r="M144" s="47" t="n"/>
      <c r="N144" s="48">
        <f>COUNTIFS(上课记录!$B:$B,A144,上课记录!$J:$J,"是")</f>
        <v/>
      </c>
      <c r="O144" s="31">
        <f>IF(F144="次卡",MAX(0,M144-N144),"—")</f>
        <v/>
      </c>
      <c r="P144" s="31">
        <f>IF(F144="期限卡",MAX(0,I144-TODAY()),"—")</f>
        <v/>
      </c>
      <c r="Q144" s="31">
        <f>IF(A144="","",IF(F144="次卡",IF(OR(K144="",K144=0,M144=0),"",K144/M144),IF(F144="期限卡",IF(AND(K144&lt;&gt;"",K144&lt;&gt;0,I144&gt;H144),K144/(I144-H144),""),"")))</f>
        <v/>
      </c>
      <c r="R144" s="31">
        <f>IF(A144="","",IF(F144="次卡",IF(OR(K144="",K144=0,M144=0),"",Q144*O144),IF(F144="期限卡",IF(AND(K144&lt;&gt;"",K144&lt;&gt;0,I144&gt;H144),Q144*P144,""),"")))</f>
        <v/>
      </c>
      <c r="S144" s="57">
        <f>IF(A144="","",IF(COUNTIFS(上课记录!$B:$B,A144,上课记录!$J:$J,"是")&gt;0,_xlfn.MAXIFS(上课记录!$D:$D,上课记录!$B:$B,A144,上课记录!$J:$J,"是"),IF(H144&gt;0,H144,"未上课")))</f>
        <v/>
      </c>
      <c r="T144" s="31">
        <f>IF(A144="",0,IF(S144="未上课",0,IF(S144="",0,TODAY()-S144)))</f>
        <v/>
      </c>
      <c r="U144" s="31">
        <f>IF(OR(AND(F144="次卡",O144=0),AND(F144="期限卡",P144=0)),"已到期",IF(T144&gt;=10,"沉睡客户",IF(T144&gt;=7,"预警客户",IF(T144=0,IF(A144="","待更新","正常"),"正常"))))</f>
        <v/>
      </c>
      <c r="V144" s="11" t="n"/>
      <c r="W144" s="11" t="n"/>
    </row>
    <row r="145">
      <c r="A145" s="44" t="n"/>
      <c r="B145" s="11" t="n"/>
      <c r="C145" s="11" t="n"/>
      <c r="D145" s="11" t="n"/>
      <c r="E145" s="11" t="n"/>
      <c r="F145" s="11" t="n"/>
      <c r="G145" s="55" t="n"/>
      <c r="H145" s="55" t="n"/>
      <c r="I145" s="55" t="n"/>
      <c r="J145" s="56" t="n"/>
      <c r="K145" s="56" t="n"/>
      <c r="L145" s="46">
        <f>K145-J145</f>
        <v/>
      </c>
      <c r="M145" s="47" t="n"/>
      <c r="N145" s="48">
        <f>COUNTIFS(上课记录!$B:$B,A145,上课记录!$J:$J,"是")</f>
        <v/>
      </c>
      <c r="O145" s="31">
        <f>IF(F145="次卡",MAX(0,M145-N145),"—")</f>
        <v/>
      </c>
      <c r="P145" s="31">
        <f>IF(F145="期限卡",MAX(0,I145-TODAY()),"—")</f>
        <v/>
      </c>
      <c r="Q145" s="31">
        <f>IF(A145="","",IF(F145="次卡",IF(OR(K145="",K145=0,M145=0),"",K145/M145),IF(F145="期限卡",IF(AND(K145&lt;&gt;"",K145&lt;&gt;0,I145&gt;H145),K145/(I145-H145),""),"")))</f>
        <v/>
      </c>
      <c r="R145" s="31">
        <f>IF(A145="","",IF(F145="次卡",IF(OR(K145="",K145=0,M145=0),"",Q145*O145),IF(F145="期限卡",IF(AND(K145&lt;&gt;"",K145&lt;&gt;0,I145&gt;H145),Q145*P145,""),"")))</f>
        <v/>
      </c>
      <c r="S145" s="57">
        <f>IF(A145="","",IF(COUNTIFS(上课记录!$B:$B,A145,上课记录!$J:$J,"是")&gt;0,_xlfn.MAXIFS(上课记录!$D:$D,上课记录!$B:$B,A145,上课记录!$J:$J,"是"),IF(H145&gt;0,H145,"未上课")))</f>
        <v/>
      </c>
      <c r="T145" s="31">
        <f>IF(A145="",0,IF(S145="未上课",0,IF(S145="",0,TODAY()-S145)))</f>
        <v/>
      </c>
      <c r="U145" s="31">
        <f>IF(OR(AND(F145="次卡",O145=0),AND(F145="期限卡",P145=0)),"已到期",IF(T145&gt;=10,"沉睡客户",IF(T145&gt;=7,"预警客户",IF(T145=0,IF(A145="","待更新","正常"),"正常"))))</f>
        <v/>
      </c>
      <c r="V145" s="11" t="n"/>
      <c r="W145" s="11" t="n"/>
    </row>
    <row r="146">
      <c r="A146" s="44" t="n"/>
      <c r="B146" s="11" t="n"/>
      <c r="C146" s="11" t="n"/>
      <c r="D146" s="11" t="n"/>
      <c r="E146" s="11" t="n"/>
      <c r="F146" s="11" t="n"/>
      <c r="G146" s="55" t="n"/>
      <c r="H146" s="55" t="n"/>
      <c r="I146" s="55" t="n"/>
      <c r="J146" s="56" t="n"/>
      <c r="K146" s="56" t="n"/>
      <c r="L146" s="46">
        <f>K146-J146</f>
        <v/>
      </c>
      <c r="M146" s="47" t="n"/>
      <c r="N146" s="48">
        <f>COUNTIFS(上课记录!$B:$B,A146,上课记录!$J:$J,"是")</f>
        <v/>
      </c>
      <c r="O146" s="31">
        <f>IF(F146="次卡",MAX(0,M146-N146),"—")</f>
        <v/>
      </c>
      <c r="P146" s="31">
        <f>IF(F146="期限卡",MAX(0,I146-TODAY()),"—")</f>
        <v/>
      </c>
      <c r="Q146" s="31">
        <f>IF(A146="","",IF(F146="次卡",IF(OR(K146="",K146=0,M146=0),"",K146/M146),IF(F146="期限卡",IF(AND(K146&lt;&gt;"",K146&lt;&gt;0,I146&gt;H146),K146/(I146-H146),""),"")))</f>
        <v/>
      </c>
      <c r="R146" s="31">
        <f>IF(A146="","",IF(F146="次卡",IF(OR(K146="",K146=0,M146=0),"",Q146*O146),IF(F146="期限卡",IF(AND(K146&lt;&gt;"",K146&lt;&gt;0,I146&gt;H146),Q146*P146,""),"")))</f>
        <v/>
      </c>
      <c r="S146" s="57">
        <f>IF(A146="","",IF(COUNTIFS(上课记录!$B:$B,A146,上课记录!$J:$J,"是")&gt;0,_xlfn.MAXIFS(上课记录!$D:$D,上课记录!$B:$B,A146,上课记录!$J:$J,"是"),IF(H146&gt;0,H146,"未上课")))</f>
        <v/>
      </c>
      <c r="T146" s="31">
        <f>IF(A146="",0,IF(S146="未上课",0,IF(S146="",0,TODAY()-S146)))</f>
        <v/>
      </c>
      <c r="U146" s="31">
        <f>IF(OR(AND(F146="次卡",O146=0),AND(F146="期限卡",P146=0)),"已到期",IF(T146&gt;=10,"沉睡客户",IF(T146&gt;=7,"预警客户",IF(T146=0,IF(A146="","待更新","正常"),"正常"))))</f>
        <v/>
      </c>
      <c r="V146" s="11" t="n"/>
      <c r="W146" s="11" t="n"/>
    </row>
    <row r="147">
      <c r="A147" s="44" t="n"/>
      <c r="B147" s="11" t="n"/>
      <c r="C147" s="11" t="n"/>
      <c r="D147" s="11" t="n"/>
      <c r="E147" s="11" t="n"/>
      <c r="F147" s="11" t="n"/>
      <c r="G147" s="55" t="n"/>
      <c r="H147" s="55" t="n"/>
      <c r="I147" s="55" t="n"/>
      <c r="J147" s="56" t="n"/>
      <c r="K147" s="56" t="n"/>
      <c r="L147" s="46">
        <f>K147-J147</f>
        <v/>
      </c>
      <c r="M147" s="47" t="n"/>
      <c r="N147" s="48">
        <f>COUNTIFS(上课记录!$B:$B,A147,上课记录!$J:$J,"是")</f>
        <v/>
      </c>
      <c r="O147" s="31">
        <f>IF(F147="次卡",MAX(0,M147-N147),"—")</f>
        <v/>
      </c>
      <c r="P147" s="31">
        <f>IF(F147="期限卡",MAX(0,I147-TODAY()),"—")</f>
        <v/>
      </c>
      <c r="Q147" s="31">
        <f>IF(A147="","",IF(F147="次卡",IF(OR(K147="",K147=0,M147=0),"",K147/M147),IF(F147="期限卡",IF(AND(K147&lt;&gt;"",K147&lt;&gt;0,I147&gt;H147),K147/(I147-H147),""),"")))</f>
        <v/>
      </c>
      <c r="R147" s="31">
        <f>IF(A147="","",IF(F147="次卡",IF(OR(K147="",K147=0,M147=0),"",Q147*O147),IF(F147="期限卡",IF(AND(K147&lt;&gt;"",K147&lt;&gt;0,I147&gt;H147),Q147*P147,""),"")))</f>
        <v/>
      </c>
      <c r="S147" s="57">
        <f>IF(A147="","",IF(COUNTIFS(上课记录!$B:$B,A147,上课记录!$J:$J,"是")&gt;0,_xlfn.MAXIFS(上课记录!$D:$D,上课记录!$B:$B,A147,上课记录!$J:$J,"是"),IF(H147&gt;0,H147,"未上课")))</f>
        <v/>
      </c>
      <c r="T147" s="31">
        <f>IF(A147="",0,IF(S147="未上课",0,IF(S147="",0,TODAY()-S147)))</f>
        <v/>
      </c>
      <c r="U147" s="31">
        <f>IF(OR(AND(F147="次卡",O147=0),AND(F147="期限卡",P147=0)),"已到期",IF(T147&gt;=10,"沉睡客户",IF(T147&gt;=7,"预警客户",IF(T147=0,IF(A147="","待更新","正常"),"正常"))))</f>
        <v/>
      </c>
      <c r="V147" s="11" t="n"/>
      <c r="W147" s="11" t="n"/>
    </row>
    <row r="148">
      <c r="A148" s="44" t="n"/>
      <c r="B148" s="11" t="n"/>
      <c r="C148" s="11" t="n"/>
      <c r="D148" s="11" t="n"/>
      <c r="E148" s="11" t="n"/>
      <c r="F148" s="11" t="n"/>
      <c r="G148" s="55" t="n"/>
      <c r="H148" s="55" t="n"/>
      <c r="I148" s="55" t="n"/>
      <c r="J148" s="56" t="n"/>
      <c r="K148" s="56" t="n"/>
      <c r="L148" s="46">
        <f>K148-J148</f>
        <v/>
      </c>
      <c r="M148" s="47" t="n"/>
      <c r="N148" s="48">
        <f>COUNTIFS(上课记录!$B:$B,A148,上课记录!$J:$J,"是")</f>
        <v/>
      </c>
      <c r="O148" s="31">
        <f>IF(F148="次卡",MAX(0,M148-N148),"—")</f>
        <v/>
      </c>
      <c r="P148" s="31">
        <f>IF(F148="期限卡",MAX(0,I148-TODAY()),"—")</f>
        <v/>
      </c>
      <c r="Q148" s="31">
        <f>IF(A148="","",IF(F148="次卡",IF(OR(K148="",K148=0,M148=0),"",K148/M148),IF(F148="期限卡",IF(AND(K148&lt;&gt;"",K148&lt;&gt;0,I148&gt;H148),K148/(I148-H148),""),"")))</f>
        <v/>
      </c>
      <c r="R148" s="31">
        <f>IF(A148="","",IF(F148="次卡",IF(OR(K148="",K148=0,M148=0),"",Q148*O148),IF(F148="期限卡",IF(AND(K148&lt;&gt;"",K148&lt;&gt;0,I148&gt;H148),Q148*P148,""),"")))</f>
        <v/>
      </c>
      <c r="S148" s="57">
        <f>IF(A148="","",IF(COUNTIFS(上课记录!$B:$B,A148,上课记录!$J:$J,"是")&gt;0,_xlfn.MAXIFS(上课记录!$D:$D,上课记录!$B:$B,A148,上课记录!$J:$J,"是"),IF(H148&gt;0,H148,"未上课")))</f>
        <v/>
      </c>
      <c r="T148" s="31">
        <f>IF(A148="",0,IF(S148="未上课",0,IF(S148="",0,TODAY()-S148)))</f>
        <v/>
      </c>
      <c r="U148" s="31">
        <f>IF(OR(AND(F148="次卡",O148=0),AND(F148="期限卡",P148=0)),"已到期",IF(T148&gt;=10,"沉睡客户",IF(T148&gt;=7,"预警客户",IF(T148=0,IF(A148="","待更新","正常"),"正常"))))</f>
        <v/>
      </c>
      <c r="V148" s="11" t="n"/>
      <c r="W148" s="11" t="n"/>
    </row>
    <row r="149">
      <c r="A149" s="44" t="n"/>
      <c r="B149" s="11" t="n"/>
      <c r="C149" s="11" t="n"/>
      <c r="D149" s="11" t="n"/>
      <c r="E149" s="11" t="n"/>
      <c r="F149" s="11" t="n"/>
      <c r="G149" s="55" t="n"/>
      <c r="H149" s="55" t="n"/>
      <c r="I149" s="55" t="n"/>
      <c r="J149" s="56" t="n"/>
      <c r="K149" s="56" t="n"/>
      <c r="L149" s="46">
        <f>K149-J149</f>
        <v/>
      </c>
      <c r="M149" s="47" t="n"/>
      <c r="N149" s="48">
        <f>COUNTIFS(上课记录!$B:$B,A149,上课记录!$J:$J,"是")</f>
        <v/>
      </c>
      <c r="O149" s="31">
        <f>IF(F149="次卡",MAX(0,M149-N149),"—")</f>
        <v/>
      </c>
      <c r="P149" s="31">
        <f>IF(F149="期限卡",MAX(0,I149-TODAY()),"—")</f>
        <v/>
      </c>
      <c r="Q149" s="31">
        <f>IF(A149="","",IF(F149="次卡",IF(OR(K149="",K149=0,M149=0),"",K149/M149),IF(F149="期限卡",IF(AND(K149&lt;&gt;"",K149&lt;&gt;0,I149&gt;H149),K149/(I149-H149),""),"")))</f>
        <v/>
      </c>
      <c r="R149" s="31">
        <f>IF(A149="","",IF(F149="次卡",IF(OR(K149="",K149=0,M149=0),"",Q149*O149),IF(F149="期限卡",IF(AND(K149&lt;&gt;"",K149&lt;&gt;0,I149&gt;H149),Q149*P149,""),"")))</f>
        <v/>
      </c>
      <c r="S149" s="57">
        <f>IF(A149="","",IF(COUNTIFS(上课记录!$B:$B,A149,上课记录!$J:$J,"是")&gt;0,_xlfn.MAXIFS(上课记录!$D:$D,上课记录!$B:$B,A149,上课记录!$J:$J,"是"),IF(H149&gt;0,H149,"未上课")))</f>
        <v/>
      </c>
      <c r="T149" s="31">
        <f>IF(A149="",0,IF(S149="未上课",0,IF(S149="",0,TODAY()-S149)))</f>
        <v/>
      </c>
      <c r="U149" s="31">
        <f>IF(OR(AND(F149="次卡",O149=0),AND(F149="期限卡",P149=0)),"已到期",IF(T149&gt;=10,"沉睡客户",IF(T149&gt;=7,"预警客户",IF(T149=0,IF(A149="","待更新","正常"),"正常"))))</f>
        <v/>
      </c>
      <c r="V149" s="11" t="n"/>
      <c r="W149" s="11" t="n"/>
    </row>
    <row r="150">
      <c r="A150" s="44" t="n"/>
      <c r="B150" s="11" t="n"/>
      <c r="C150" s="11" t="n"/>
      <c r="D150" s="11" t="n"/>
      <c r="E150" s="11" t="n"/>
      <c r="F150" s="11" t="n"/>
      <c r="G150" s="55" t="n"/>
      <c r="H150" s="55" t="n"/>
      <c r="I150" s="55" t="n"/>
      <c r="J150" s="56" t="n"/>
      <c r="K150" s="56" t="n"/>
      <c r="L150" s="46">
        <f>K150-J150</f>
        <v/>
      </c>
      <c r="M150" s="47" t="n"/>
      <c r="N150" s="48">
        <f>COUNTIFS(上课记录!$B:$B,A150,上课记录!$J:$J,"是")</f>
        <v/>
      </c>
      <c r="O150" s="31">
        <f>IF(F150="次卡",MAX(0,M150-N150),"—")</f>
        <v/>
      </c>
      <c r="P150" s="31">
        <f>IF(F150="期限卡",MAX(0,I150-TODAY()),"—")</f>
        <v/>
      </c>
      <c r="Q150" s="31">
        <f>IF(A150="","",IF(F150="次卡",IF(OR(K150="",K150=0,M150=0),"",K150/M150),IF(F150="期限卡",IF(AND(K150&lt;&gt;"",K150&lt;&gt;0,I150&gt;H150),K150/(I150-H150),""),"")))</f>
        <v/>
      </c>
      <c r="R150" s="31">
        <f>IF(A150="","",IF(F150="次卡",IF(OR(K150="",K150=0,M150=0),"",Q150*O150),IF(F150="期限卡",IF(AND(K150&lt;&gt;"",K150&lt;&gt;0,I150&gt;H150),Q150*P150,""),"")))</f>
        <v/>
      </c>
      <c r="S150" s="57">
        <f>IF(A150="","",IF(COUNTIFS(上课记录!$B:$B,A150,上课记录!$J:$J,"是")&gt;0,_xlfn.MAXIFS(上课记录!$D:$D,上课记录!$B:$B,A150,上课记录!$J:$J,"是"),IF(H150&gt;0,H150,"未上课")))</f>
        <v/>
      </c>
      <c r="T150" s="31">
        <f>IF(A150="",0,IF(S150="未上课",0,IF(S150="",0,TODAY()-S150)))</f>
        <v/>
      </c>
      <c r="U150" s="31">
        <f>IF(OR(AND(F150="次卡",O150=0),AND(F150="期限卡",P150=0)),"已到期",IF(T150&gt;=10,"沉睡客户",IF(T150&gt;=7,"预警客户",IF(T150=0,IF(A150="","待更新","正常"),"正常"))))</f>
        <v/>
      </c>
      <c r="V150" s="11" t="n"/>
      <c r="W150" s="11" t="n"/>
    </row>
    <row r="151">
      <c r="A151" s="44" t="n"/>
      <c r="B151" s="11" t="n"/>
      <c r="C151" s="11" t="n"/>
      <c r="D151" s="11" t="n"/>
      <c r="E151" s="11" t="n"/>
      <c r="F151" s="11" t="n"/>
      <c r="G151" s="55" t="n"/>
      <c r="H151" s="55" t="n"/>
      <c r="I151" s="55" t="n"/>
      <c r="J151" s="56" t="n"/>
      <c r="K151" s="56" t="n"/>
      <c r="L151" s="46">
        <f>K151-J151</f>
        <v/>
      </c>
      <c r="M151" s="47" t="n"/>
      <c r="N151" s="48">
        <f>COUNTIFS(上课记录!$B:$B,A151,上课记录!$J:$J,"是")</f>
        <v/>
      </c>
      <c r="O151" s="31">
        <f>IF(F151="次卡",MAX(0,M151-N151),"—")</f>
        <v/>
      </c>
      <c r="P151" s="31">
        <f>IF(F151="期限卡",MAX(0,I151-TODAY()),"—")</f>
        <v/>
      </c>
      <c r="Q151" s="31">
        <f>IF(A151="","",IF(F151="次卡",IF(OR(K151="",K151=0,M151=0),"",K151/M151),IF(F151="期限卡",IF(AND(K151&lt;&gt;"",K151&lt;&gt;0,I151&gt;H151),K151/(I151-H151),""),"")))</f>
        <v/>
      </c>
      <c r="R151" s="31">
        <f>IF(A151="","",IF(F151="次卡",IF(OR(K151="",K151=0,M151=0),"",Q151*O151),IF(F151="期限卡",IF(AND(K151&lt;&gt;"",K151&lt;&gt;0,I151&gt;H151),Q151*P151,""),"")))</f>
        <v/>
      </c>
      <c r="S151" s="57">
        <f>IF(A151="","",IF(COUNTIFS(上课记录!$B:$B,A151,上课记录!$J:$J,"是")&gt;0,_xlfn.MAXIFS(上课记录!$D:$D,上课记录!$B:$B,A151,上课记录!$J:$J,"是"),IF(H151&gt;0,H151,"未上课")))</f>
        <v/>
      </c>
      <c r="T151" s="31">
        <f>IF(A151="",0,IF(S151="未上课",0,IF(S151="",0,TODAY()-S151)))</f>
        <v/>
      </c>
      <c r="U151" s="31">
        <f>IF(OR(AND(F151="次卡",O151=0),AND(F151="期限卡",P151=0)),"已到期",IF(T151&gt;=10,"沉睡客户",IF(T151&gt;=7,"预警客户",IF(T151=0,IF(A151="","待更新","正常"),"正常"))))</f>
        <v/>
      </c>
      <c r="V151" s="11" t="n"/>
      <c r="W151" s="11" t="n"/>
    </row>
    <row r="152">
      <c r="A152" s="44" t="n"/>
      <c r="B152" s="11" t="n"/>
      <c r="C152" s="11" t="n"/>
      <c r="D152" s="11" t="n"/>
      <c r="E152" s="11" t="n"/>
      <c r="F152" s="11" t="n"/>
      <c r="G152" s="55" t="n"/>
      <c r="H152" s="55" t="n"/>
      <c r="I152" s="55" t="n"/>
      <c r="J152" s="56" t="n"/>
      <c r="K152" s="56" t="n"/>
      <c r="L152" s="46">
        <f>K152-J152</f>
        <v/>
      </c>
      <c r="M152" s="47" t="n"/>
      <c r="N152" s="48">
        <f>COUNTIFS(上课记录!$B:$B,A152,上课记录!$J:$J,"是")</f>
        <v/>
      </c>
      <c r="O152" s="31">
        <f>IF(F152="次卡",MAX(0,M152-N152),"—")</f>
        <v/>
      </c>
      <c r="P152" s="31">
        <f>IF(F152="期限卡",MAX(0,I152-TODAY()),"—")</f>
        <v/>
      </c>
      <c r="Q152" s="31">
        <f>IF(A152="","",IF(F152="次卡",IF(OR(K152="",K152=0,M152=0),"",K152/M152),IF(F152="期限卡",IF(AND(K152&lt;&gt;"",K152&lt;&gt;0,I152&gt;H152),K152/(I152-H152),""),"")))</f>
        <v/>
      </c>
      <c r="R152" s="31">
        <f>IF(A152="","",IF(F152="次卡",IF(OR(K152="",K152=0,M152=0),"",Q152*O152),IF(F152="期限卡",IF(AND(K152&lt;&gt;"",K152&lt;&gt;0,I152&gt;H152),Q152*P152,""),"")))</f>
        <v/>
      </c>
      <c r="S152" s="57">
        <f>IF(A152="","",IF(COUNTIFS(上课记录!$B:$B,A152,上课记录!$J:$J,"是")&gt;0,_xlfn.MAXIFS(上课记录!$D:$D,上课记录!$B:$B,A152,上课记录!$J:$J,"是"),IF(H152&gt;0,H152,"未上课")))</f>
        <v/>
      </c>
      <c r="T152" s="31">
        <f>IF(A152="",0,IF(S152="未上课",0,IF(S152="",0,TODAY()-S152)))</f>
        <v/>
      </c>
      <c r="U152" s="31">
        <f>IF(OR(AND(F152="次卡",O152=0),AND(F152="期限卡",P152=0)),"已到期",IF(T152&gt;=10,"沉睡客户",IF(T152&gt;=7,"预警客户",IF(T152=0,IF(A152="","待更新","正常"),"正常"))))</f>
        <v/>
      </c>
      <c r="V152" s="11" t="n"/>
      <c r="W152" s="11" t="n"/>
    </row>
    <row r="153">
      <c r="A153" s="44" t="n"/>
      <c r="B153" s="11" t="n"/>
      <c r="C153" s="11" t="n"/>
      <c r="D153" s="11" t="n"/>
      <c r="E153" s="11" t="n"/>
      <c r="F153" s="11" t="n"/>
      <c r="G153" s="55" t="n"/>
      <c r="H153" s="55" t="n"/>
      <c r="I153" s="55" t="n"/>
      <c r="J153" s="56" t="n"/>
      <c r="K153" s="56" t="n"/>
      <c r="L153" s="46">
        <f>K153-J153</f>
        <v/>
      </c>
      <c r="M153" s="47" t="n"/>
      <c r="N153" s="48">
        <f>COUNTIFS(上课记录!$B:$B,A153,上课记录!$J:$J,"是")</f>
        <v/>
      </c>
      <c r="O153" s="31">
        <f>IF(F153="次卡",MAX(0,M153-N153),"—")</f>
        <v/>
      </c>
      <c r="P153" s="31">
        <f>IF(F153="期限卡",MAX(0,I153-TODAY()),"—")</f>
        <v/>
      </c>
      <c r="Q153" s="31">
        <f>IF(A153="","",IF(F153="次卡",IF(OR(K153="",K153=0,M153=0),"",K153/M153),IF(F153="期限卡",IF(AND(K153&lt;&gt;"",K153&lt;&gt;0,I153&gt;H153),K153/(I153-H153),""),"")))</f>
        <v/>
      </c>
      <c r="R153" s="31">
        <f>IF(A153="","",IF(F153="次卡",IF(OR(K153="",K153=0,M153=0),"",Q153*O153),IF(F153="期限卡",IF(AND(K153&lt;&gt;"",K153&lt;&gt;0,I153&gt;H153),Q153*P153,""),"")))</f>
        <v/>
      </c>
      <c r="S153" s="57">
        <f>IF(A153="","",IF(COUNTIFS(上课记录!$B:$B,A153,上课记录!$J:$J,"是")&gt;0,_xlfn.MAXIFS(上课记录!$D:$D,上课记录!$B:$B,A153,上课记录!$J:$J,"是"),IF(H153&gt;0,H153,"未上课")))</f>
        <v/>
      </c>
      <c r="T153" s="31">
        <f>IF(A153="",0,IF(S153="未上课",0,IF(S153="",0,TODAY()-S153)))</f>
        <v/>
      </c>
      <c r="U153" s="31">
        <f>IF(OR(AND(F153="次卡",O153=0),AND(F153="期限卡",P153=0)),"已到期",IF(T153&gt;=10,"沉睡客户",IF(T153&gt;=7,"预警客户",IF(T153=0,IF(A153="","待更新","正常"),"正常"))))</f>
        <v/>
      </c>
      <c r="V153" s="11" t="n"/>
      <c r="W153" s="11" t="n"/>
    </row>
    <row r="154">
      <c r="A154" s="44" t="n"/>
      <c r="B154" s="11" t="n"/>
      <c r="C154" s="11" t="n"/>
      <c r="D154" s="11" t="n"/>
      <c r="E154" s="11" t="n"/>
      <c r="F154" s="11" t="n"/>
      <c r="G154" s="55" t="n"/>
      <c r="H154" s="55" t="n"/>
      <c r="I154" s="55" t="n"/>
      <c r="J154" s="56" t="n"/>
      <c r="K154" s="56" t="n"/>
      <c r="L154" s="46">
        <f>K154-J154</f>
        <v/>
      </c>
      <c r="M154" s="47" t="n"/>
      <c r="N154" s="48">
        <f>COUNTIFS(上课记录!$B:$B,A154,上课记录!$J:$J,"是")</f>
        <v/>
      </c>
      <c r="O154" s="31">
        <f>IF(F154="次卡",MAX(0,M154-N154),"—")</f>
        <v/>
      </c>
      <c r="P154" s="31">
        <f>IF(F154="期限卡",MAX(0,I154-TODAY()),"—")</f>
        <v/>
      </c>
      <c r="Q154" s="31">
        <f>IF(A154="","",IF(F154="次卡",IF(OR(K154="",K154=0,M154=0),"",K154/M154),IF(F154="期限卡",IF(AND(K154&lt;&gt;"",K154&lt;&gt;0,I154&gt;H154),K154/(I154-H154),""),"")))</f>
        <v/>
      </c>
      <c r="R154" s="31">
        <f>IF(A154="","",IF(F154="次卡",IF(OR(K154="",K154=0,M154=0),"",Q154*O154),IF(F154="期限卡",IF(AND(K154&lt;&gt;"",K154&lt;&gt;0,I154&gt;H154),Q154*P154,""),"")))</f>
        <v/>
      </c>
      <c r="S154" s="57">
        <f>IF(A154="","",IF(COUNTIFS(上课记录!$B:$B,A154,上课记录!$J:$J,"是")&gt;0,_xlfn.MAXIFS(上课记录!$D:$D,上课记录!$B:$B,A154,上课记录!$J:$J,"是"),IF(H154&gt;0,H154,"未上课")))</f>
        <v/>
      </c>
      <c r="T154" s="31">
        <f>IF(A154="",0,IF(S154="未上课",0,IF(S154="",0,TODAY()-S154)))</f>
        <v/>
      </c>
      <c r="U154" s="31">
        <f>IF(OR(AND(F154="次卡",O154=0),AND(F154="期限卡",P154=0)),"已到期",IF(T154&gt;=10,"沉睡客户",IF(T154&gt;=7,"预警客户",IF(T154=0,IF(A154="","待更新","正常"),"正常"))))</f>
        <v/>
      </c>
      <c r="V154" s="11" t="n"/>
      <c r="W154" s="11" t="n"/>
    </row>
    <row r="155">
      <c r="A155" s="44" t="n"/>
      <c r="B155" s="11" t="n"/>
      <c r="C155" s="11" t="n"/>
      <c r="D155" s="11" t="n"/>
      <c r="E155" s="11" t="n"/>
      <c r="F155" s="11" t="n"/>
      <c r="G155" s="55" t="n"/>
      <c r="H155" s="55" t="n"/>
      <c r="I155" s="55" t="n"/>
      <c r="J155" s="56" t="n"/>
      <c r="K155" s="56" t="n"/>
      <c r="L155" s="46">
        <f>K155-J155</f>
        <v/>
      </c>
      <c r="M155" s="47" t="n"/>
      <c r="N155" s="48">
        <f>COUNTIFS(上课记录!$B:$B,A155,上课记录!$J:$J,"是")</f>
        <v/>
      </c>
      <c r="O155" s="31">
        <f>IF(F155="次卡",MAX(0,M155-N155),"—")</f>
        <v/>
      </c>
      <c r="P155" s="31">
        <f>IF(F155="期限卡",MAX(0,I155-TODAY()),"—")</f>
        <v/>
      </c>
      <c r="Q155" s="31">
        <f>IF(A155="","",IF(F155="次卡",IF(OR(K155="",K155=0,M155=0),"",K155/M155),IF(F155="期限卡",IF(AND(K155&lt;&gt;"",K155&lt;&gt;0,I155&gt;H155),K155/(I155-H155),""),"")))</f>
        <v/>
      </c>
      <c r="R155" s="31">
        <f>IF(A155="","",IF(F155="次卡",IF(OR(K155="",K155=0,M155=0),"",Q155*O155),IF(F155="期限卡",IF(AND(K155&lt;&gt;"",K155&lt;&gt;0,I155&gt;H155),Q155*P155,""),"")))</f>
        <v/>
      </c>
      <c r="S155" s="57">
        <f>IF(A155="","",IF(COUNTIFS(上课记录!$B:$B,A155,上课记录!$J:$J,"是")&gt;0,_xlfn.MAXIFS(上课记录!$D:$D,上课记录!$B:$B,A155,上课记录!$J:$J,"是"),IF(H155&gt;0,H155,"未上课")))</f>
        <v/>
      </c>
      <c r="T155" s="31">
        <f>IF(A155="",0,IF(S155="未上课",0,IF(S155="",0,TODAY()-S155)))</f>
        <v/>
      </c>
      <c r="U155" s="31">
        <f>IF(OR(AND(F155="次卡",O155=0),AND(F155="期限卡",P155=0)),"已到期",IF(T155&gt;=10,"沉睡客户",IF(T155&gt;=7,"预警客户",IF(T155=0,IF(A155="","待更新","正常"),"正常"))))</f>
        <v/>
      </c>
      <c r="V155" s="11" t="n"/>
      <c r="W155" s="11" t="n"/>
    </row>
    <row r="156">
      <c r="A156" s="44" t="n"/>
      <c r="B156" s="11" t="n"/>
      <c r="C156" s="11" t="n"/>
      <c r="D156" s="11" t="n"/>
      <c r="E156" s="11" t="n"/>
      <c r="F156" s="11" t="n"/>
      <c r="G156" s="55" t="n"/>
      <c r="H156" s="55" t="n"/>
      <c r="I156" s="55" t="n"/>
      <c r="J156" s="56" t="n"/>
      <c r="K156" s="56" t="n"/>
      <c r="L156" s="46">
        <f>K156-J156</f>
        <v/>
      </c>
      <c r="M156" s="47" t="n"/>
      <c r="N156" s="48">
        <f>COUNTIFS(上课记录!$B:$B,A156,上课记录!$J:$J,"是")</f>
        <v/>
      </c>
      <c r="O156" s="31">
        <f>IF(F156="次卡",MAX(0,M156-N156),"—")</f>
        <v/>
      </c>
      <c r="P156" s="31">
        <f>IF(F156="期限卡",MAX(0,I156-TODAY()),"—")</f>
        <v/>
      </c>
      <c r="Q156" s="31">
        <f>IF(A156="","",IF(F156="次卡",IF(OR(K156="",K156=0,M156=0),"",K156/M156),IF(F156="期限卡",IF(AND(K156&lt;&gt;"",K156&lt;&gt;0,I156&gt;H156),K156/(I156-H156),""),"")))</f>
        <v/>
      </c>
      <c r="R156" s="31">
        <f>IF(A156="","",IF(F156="次卡",IF(OR(K156="",K156=0,M156=0),"",Q156*O156),IF(F156="期限卡",IF(AND(K156&lt;&gt;"",K156&lt;&gt;0,I156&gt;H156),Q156*P156,""),"")))</f>
        <v/>
      </c>
      <c r="S156" s="57">
        <f>IF(A156="","",IF(COUNTIFS(上课记录!$B:$B,A156,上课记录!$J:$J,"是")&gt;0,_xlfn.MAXIFS(上课记录!$D:$D,上课记录!$B:$B,A156,上课记录!$J:$J,"是"),IF(H156&gt;0,H156,"未上课")))</f>
        <v/>
      </c>
      <c r="T156" s="31">
        <f>IF(A156="",0,IF(S156="未上课",0,IF(S156="",0,TODAY()-S156)))</f>
        <v/>
      </c>
      <c r="U156" s="31">
        <f>IF(OR(AND(F156="次卡",O156=0),AND(F156="期限卡",P156=0)),"已到期",IF(T156&gt;=10,"沉睡客户",IF(T156&gt;=7,"预警客户",IF(T156=0,IF(A156="","待更新","正常"),"正常"))))</f>
        <v/>
      </c>
      <c r="V156" s="11" t="n"/>
      <c r="W156" s="11" t="n"/>
    </row>
    <row r="157">
      <c r="A157" s="44" t="n"/>
      <c r="B157" s="11" t="n"/>
      <c r="C157" s="11" t="n"/>
      <c r="D157" s="11" t="n"/>
      <c r="E157" s="11" t="n"/>
      <c r="F157" s="11" t="n"/>
      <c r="G157" s="55" t="n"/>
      <c r="H157" s="55" t="n"/>
      <c r="I157" s="55" t="n"/>
      <c r="J157" s="56" t="n"/>
      <c r="K157" s="56" t="n"/>
      <c r="L157" s="46">
        <f>K157-J157</f>
        <v/>
      </c>
      <c r="M157" s="47" t="n"/>
      <c r="N157" s="48">
        <f>COUNTIFS(上课记录!$B:$B,A157,上课记录!$J:$J,"是")</f>
        <v/>
      </c>
      <c r="O157" s="31">
        <f>IF(F157="次卡",MAX(0,M157-N157),"—")</f>
        <v/>
      </c>
      <c r="P157" s="31">
        <f>IF(F157="期限卡",MAX(0,I157-TODAY()),"—")</f>
        <v/>
      </c>
      <c r="Q157" s="31">
        <f>IF(A157="","",IF(F157="次卡",IF(OR(K157="",K157=0,M157=0),"",K157/M157),IF(F157="期限卡",IF(AND(K157&lt;&gt;"",K157&lt;&gt;0,I157&gt;H157),K157/(I157-H157),""),"")))</f>
        <v/>
      </c>
      <c r="R157" s="31">
        <f>IF(A157="","",IF(F157="次卡",IF(OR(K157="",K157=0,M157=0),"",Q157*O157),IF(F157="期限卡",IF(AND(K157&lt;&gt;"",K157&lt;&gt;0,I157&gt;H157),Q157*P157,""),"")))</f>
        <v/>
      </c>
      <c r="S157" s="57">
        <f>IF(A157="","",IF(COUNTIFS(上课记录!$B:$B,A157,上课记录!$J:$J,"是")&gt;0,_xlfn.MAXIFS(上课记录!$D:$D,上课记录!$B:$B,A157,上课记录!$J:$J,"是"),IF(H157&gt;0,H157,"未上课")))</f>
        <v/>
      </c>
      <c r="T157" s="31">
        <f>IF(A157="",0,IF(S157="未上课",0,IF(S157="",0,TODAY()-S157)))</f>
        <v/>
      </c>
      <c r="U157" s="31">
        <f>IF(OR(AND(F157="次卡",O157=0),AND(F157="期限卡",P157=0)),"已到期",IF(T157&gt;=10,"沉睡客户",IF(T157&gt;=7,"预警客户",IF(T157=0,IF(A157="","待更新","正常"),"正常"))))</f>
        <v/>
      </c>
      <c r="V157" s="11" t="n"/>
      <c r="W157" s="11" t="n"/>
    </row>
    <row r="158">
      <c r="A158" s="44" t="n"/>
      <c r="B158" s="11" t="n"/>
      <c r="C158" s="11" t="n"/>
      <c r="D158" s="11" t="n"/>
      <c r="E158" s="11" t="n"/>
      <c r="F158" s="11" t="n"/>
      <c r="G158" s="55" t="n"/>
      <c r="H158" s="55" t="n"/>
      <c r="I158" s="55" t="n"/>
      <c r="J158" s="56" t="n"/>
      <c r="K158" s="56" t="n"/>
      <c r="L158" s="46">
        <f>K158-J158</f>
        <v/>
      </c>
      <c r="M158" s="47" t="n"/>
      <c r="N158" s="48">
        <f>COUNTIFS(上课记录!$B:$B,A158,上课记录!$J:$J,"是")</f>
        <v/>
      </c>
      <c r="O158" s="31">
        <f>IF(F158="次卡",MAX(0,M158-N158),"—")</f>
        <v/>
      </c>
      <c r="P158" s="31">
        <f>IF(F158="期限卡",MAX(0,I158-TODAY()),"—")</f>
        <v/>
      </c>
      <c r="Q158" s="31">
        <f>IF(A158="","",IF(F158="次卡",IF(OR(K158="",K158=0,M158=0),"",K158/M158),IF(F158="期限卡",IF(AND(K158&lt;&gt;"",K158&lt;&gt;0,I158&gt;H158),K158/(I158-H158),""),"")))</f>
        <v/>
      </c>
      <c r="R158" s="31">
        <f>IF(A158="","",IF(F158="次卡",IF(OR(K158="",K158=0,M158=0),"",Q158*O158),IF(F158="期限卡",IF(AND(K158&lt;&gt;"",K158&lt;&gt;0,I158&gt;H158),Q158*P158,""),"")))</f>
        <v/>
      </c>
      <c r="S158" s="57">
        <f>IF(A158="","",IF(COUNTIFS(上课记录!$B:$B,A158,上课记录!$J:$J,"是")&gt;0,_xlfn.MAXIFS(上课记录!$D:$D,上课记录!$B:$B,A158,上课记录!$J:$J,"是"),IF(H158&gt;0,H158,"未上课")))</f>
        <v/>
      </c>
      <c r="T158" s="31">
        <f>IF(A158="",0,IF(S158="未上课",0,IF(S158="",0,TODAY()-S158)))</f>
        <v/>
      </c>
      <c r="U158" s="31">
        <f>IF(OR(AND(F158="次卡",O158=0),AND(F158="期限卡",P158=0)),"已到期",IF(T158&gt;=10,"沉睡客户",IF(T158&gt;=7,"预警客户",IF(T158=0,IF(A158="","待更新","正常"),"正常"))))</f>
        <v/>
      </c>
      <c r="V158" s="11" t="n"/>
      <c r="W158" s="11" t="n"/>
    </row>
    <row r="159">
      <c r="A159" s="44" t="n"/>
      <c r="B159" s="11" t="n"/>
      <c r="C159" s="11" t="n"/>
      <c r="D159" s="11" t="n"/>
      <c r="E159" s="11" t="n"/>
      <c r="F159" s="11" t="n"/>
      <c r="G159" s="55" t="n"/>
      <c r="H159" s="55" t="n"/>
      <c r="I159" s="55" t="n"/>
      <c r="J159" s="56" t="n"/>
      <c r="K159" s="56" t="n"/>
      <c r="L159" s="46">
        <f>K159-J159</f>
        <v/>
      </c>
      <c r="M159" s="47" t="n"/>
      <c r="N159" s="48">
        <f>COUNTIFS(上课记录!$B:$B,A159,上课记录!$J:$J,"是")</f>
        <v/>
      </c>
      <c r="O159" s="31">
        <f>IF(F159="次卡",MAX(0,M159-N159),"—")</f>
        <v/>
      </c>
      <c r="P159" s="31">
        <f>IF(F159="期限卡",MAX(0,I159-TODAY()),"—")</f>
        <v/>
      </c>
      <c r="Q159" s="31">
        <f>IF(A159="","",IF(F159="次卡",IF(OR(K159="",K159=0,M159=0),"",K159/M159),IF(F159="期限卡",IF(AND(K159&lt;&gt;"",K159&lt;&gt;0,I159&gt;H159),K159/(I159-H159),""),"")))</f>
        <v/>
      </c>
      <c r="R159" s="31">
        <f>IF(A159="","",IF(F159="次卡",IF(OR(K159="",K159=0,M159=0),"",Q159*O159),IF(F159="期限卡",IF(AND(K159&lt;&gt;"",K159&lt;&gt;0,I159&gt;H159),Q159*P159,""),"")))</f>
        <v/>
      </c>
      <c r="S159" s="57">
        <f>IF(A159="","",IF(COUNTIFS(上课记录!$B:$B,A159,上课记录!$J:$J,"是")&gt;0,_xlfn.MAXIFS(上课记录!$D:$D,上课记录!$B:$B,A159,上课记录!$J:$J,"是"),IF(H159&gt;0,H159,"未上课")))</f>
        <v/>
      </c>
      <c r="T159" s="31">
        <f>IF(A159="",0,IF(S159="未上课",0,IF(S159="",0,TODAY()-S159)))</f>
        <v/>
      </c>
      <c r="U159" s="31">
        <f>IF(OR(AND(F159="次卡",O159=0),AND(F159="期限卡",P159=0)),"已到期",IF(T159&gt;=10,"沉睡客户",IF(T159&gt;=7,"预警客户",IF(T159=0,IF(A159="","待更新","正常"),"正常"))))</f>
        <v/>
      </c>
      <c r="V159" s="11" t="n"/>
      <c r="W159" s="11" t="n"/>
    </row>
    <row r="160">
      <c r="A160" s="44" t="n"/>
      <c r="B160" s="11" t="n"/>
      <c r="C160" s="11" t="n"/>
      <c r="D160" s="11" t="n"/>
      <c r="E160" s="11" t="n"/>
      <c r="F160" s="11" t="n"/>
      <c r="G160" s="55" t="n"/>
      <c r="H160" s="55" t="n"/>
      <c r="I160" s="55" t="n"/>
      <c r="J160" s="56" t="n"/>
      <c r="K160" s="56" t="n"/>
      <c r="L160" s="46">
        <f>K160-J160</f>
        <v/>
      </c>
      <c r="M160" s="47" t="n"/>
      <c r="N160" s="48">
        <f>COUNTIFS(上课记录!$B:$B,A160,上课记录!$J:$J,"是")</f>
        <v/>
      </c>
      <c r="O160" s="31">
        <f>IF(F160="次卡",MAX(0,M160-N160),"—")</f>
        <v/>
      </c>
      <c r="P160" s="31">
        <f>IF(F160="期限卡",MAX(0,I160-TODAY()),"—")</f>
        <v/>
      </c>
      <c r="Q160" s="31">
        <f>IF(A160="","",IF(F160="次卡",IF(OR(K160="",K160=0,M160=0),"",K160/M160),IF(F160="期限卡",IF(AND(K160&lt;&gt;"",K160&lt;&gt;0,I160&gt;H160),K160/(I160-H160),""),"")))</f>
        <v/>
      </c>
      <c r="R160" s="31">
        <f>IF(A160="","",IF(F160="次卡",IF(OR(K160="",K160=0,M160=0),"",Q160*O160),IF(F160="期限卡",IF(AND(K160&lt;&gt;"",K160&lt;&gt;0,I160&gt;H160),Q160*P160,""),"")))</f>
        <v/>
      </c>
      <c r="S160" s="57">
        <f>IF(A160="","",IF(COUNTIFS(上课记录!$B:$B,A160,上课记录!$J:$J,"是")&gt;0,_xlfn.MAXIFS(上课记录!$D:$D,上课记录!$B:$B,A160,上课记录!$J:$J,"是"),IF(H160&gt;0,H160,"未上课")))</f>
        <v/>
      </c>
      <c r="T160" s="31">
        <f>IF(A160="",0,IF(S160="未上课",0,IF(S160="",0,TODAY()-S160)))</f>
        <v/>
      </c>
      <c r="U160" s="31">
        <f>IF(OR(AND(F160="次卡",O160=0),AND(F160="期限卡",P160=0)),"已到期",IF(T160&gt;=10,"沉睡客户",IF(T160&gt;=7,"预警客户",IF(T160=0,IF(A160="","待更新","正常"),"正常"))))</f>
        <v/>
      </c>
      <c r="V160" s="11" t="n"/>
      <c r="W160" s="11" t="n"/>
    </row>
    <row r="161">
      <c r="A161" s="44" t="n"/>
      <c r="B161" s="11" t="n"/>
      <c r="C161" s="11" t="n"/>
      <c r="D161" s="11" t="n"/>
      <c r="E161" s="11" t="n"/>
      <c r="F161" s="11" t="n"/>
      <c r="G161" s="55" t="n"/>
      <c r="H161" s="55" t="n"/>
      <c r="I161" s="55" t="n"/>
      <c r="J161" s="56" t="n"/>
      <c r="K161" s="56" t="n"/>
      <c r="L161" s="46">
        <f>K161-J161</f>
        <v/>
      </c>
      <c r="M161" s="47" t="n"/>
      <c r="N161" s="48">
        <f>COUNTIFS(上课记录!$B:$B,A161,上课记录!$J:$J,"是")</f>
        <v/>
      </c>
      <c r="O161" s="31">
        <f>IF(F161="次卡",MAX(0,M161-N161),"—")</f>
        <v/>
      </c>
      <c r="P161" s="31">
        <f>IF(F161="期限卡",MAX(0,I161-TODAY()),"—")</f>
        <v/>
      </c>
      <c r="Q161" s="31">
        <f>IF(A161="","",IF(F161="次卡",IF(OR(K161="",K161=0,M161=0),"",K161/M161),IF(F161="期限卡",IF(AND(K161&lt;&gt;"",K161&lt;&gt;0,I161&gt;H161),K161/(I161-H161),""),"")))</f>
        <v/>
      </c>
      <c r="R161" s="31">
        <f>IF(A161="","",IF(F161="次卡",IF(OR(K161="",K161=0,M161=0),"",Q161*O161),IF(F161="期限卡",IF(AND(K161&lt;&gt;"",K161&lt;&gt;0,I161&gt;H161),Q161*P161,""),"")))</f>
        <v/>
      </c>
      <c r="S161" s="57">
        <f>IF(A161="","",IF(COUNTIFS(上课记录!$B:$B,A161,上课记录!$J:$J,"是")&gt;0,_xlfn.MAXIFS(上课记录!$D:$D,上课记录!$B:$B,A161,上课记录!$J:$J,"是"),IF(H161&gt;0,H161,"未上课")))</f>
        <v/>
      </c>
      <c r="T161" s="31">
        <f>IF(A161="",0,IF(S161="未上课",0,IF(S161="",0,TODAY()-S161)))</f>
        <v/>
      </c>
      <c r="U161" s="31">
        <f>IF(OR(AND(F161="次卡",O161=0),AND(F161="期限卡",P161=0)),"已到期",IF(T161&gt;=10,"沉睡客户",IF(T161&gt;=7,"预警客户",IF(T161=0,IF(A161="","待更新","正常"),"正常"))))</f>
        <v/>
      </c>
      <c r="V161" s="11" t="n"/>
      <c r="W161" s="11" t="n"/>
    </row>
    <row r="162">
      <c r="A162" s="44" t="n"/>
      <c r="B162" s="11" t="n"/>
      <c r="C162" s="11" t="n"/>
      <c r="D162" s="11" t="n"/>
      <c r="E162" s="11" t="n"/>
      <c r="F162" s="11" t="n"/>
      <c r="G162" s="55" t="n"/>
      <c r="H162" s="55" t="n"/>
      <c r="I162" s="55" t="n"/>
      <c r="J162" s="56" t="n"/>
      <c r="K162" s="56" t="n"/>
      <c r="L162" s="46">
        <f>K162-J162</f>
        <v/>
      </c>
      <c r="M162" s="47" t="n"/>
      <c r="N162" s="48">
        <f>COUNTIFS(上课记录!$B:$B,A162,上课记录!$J:$J,"是")</f>
        <v/>
      </c>
      <c r="O162" s="31">
        <f>IF(F162="次卡",MAX(0,M162-N162),"—")</f>
        <v/>
      </c>
      <c r="P162" s="31">
        <f>IF(F162="期限卡",MAX(0,I162-TODAY()),"—")</f>
        <v/>
      </c>
      <c r="Q162" s="31">
        <f>IF(A162="","",IF(F162="次卡",IF(OR(K162="",K162=0,M162=0),"",K162/M162),IF(F162="期限卡",IF(AND(K162&lt;&gt;"",K162&lt;&gt;0,I162&gt;H162),K162/(I162-H162),""),"")))</f>
        <v/>
      </c>
      <c r="R162" s="31">
        <f>IF(A162="","",IF(F162="次卡",IF(OR(K162="",K162=0,M162=0),"",Q162*O162),IF(F162="期限卡",IF(AND(K162&lt;&gt;"",K162&lt;&gt;0,I162&gt;H162),Q162*P162,""),"")))</f>
        <v/>
      </c>
      <c r="S162" s="57">
        <f>IF(A162="","",IF(COUNTIFS(上课记录!$B:$B,A162,上课记录!$J:$J,"是")&gt;0,_xlfn.MAXIFS(上课记录!$D:$D,上课记录!$B:$B,A162,上课记录!$J:$J,"是"),IF(H162&gt;0,H162,"未上课")))</f>
        <v/>
      </c>
      <c r="T162" s="31">
        <f>IF(A162="",0,IF(S162="未上课",0,IF(S162="",0,TODAY()-S162)))</f>
        <v/>
      </c>
      <c r="U162" s="31">
        <f>IF(OR(AND(F162="次卡",O162=0),AND(F162="期限卡",P162=0)),"已到期",IF(T162&gt;=10,"沉睡客户",IF(T162&gt;=7,"预警客户",IF(T162=0,IF(A162="","待更新","正常"),"正常"))))</f>
        <v/>
      </c>
      <c r="V162" s="11" t="n"/>
      <c r="W162" s="11" t="n"/>
    </row>
    <row r="163">
      <c r="A163" s="44" t="n"/>
      <c r="B163" s="11" t="n"/>
      <c r="C163" s="11" t="n"/>
      <c r="D163" s="11" t="n"/>
      <c r="E163" s="11" t="n"/>
      <c r="F163" s="11" t="n"/>
      <c r="G163" s="55" t="n"/>
      <c r="H163" s="55" t="n"/>
      <c r="I163" s="55" t="n"/>
      <c r="J163" s="56" t="n"/>
      <c r="K163" s="56" t="n"/>
      <c r="L163" s="46">
        <f>K163-J163</f>
        <v/>
      </c>
      <c r="M163" s="47" t="n"/>
      <c r="N163" s="48">
        <f>COUNTIFS(上课记录!$B:$B,A163,上课记录!$J:$J,"是")</f>
        <v/>
      </c>
      <c r="O163" s="31">
        <f>IF(F163="次卡",MAX(0,M163-N163),"—")</f>
        <v/>
      </c>
      <c r="P163" s="31">
        <f>IF(F163="期限卡",MAX(0,I163-TODAY()),"—")</f>
        <v/>
      </c>
      <c r="Q163" s="31">
        <f>IF(A163="","",IF(F163="次卡",IF(OR(K163="",K163=0,M163=0),"",K163/M163),IF(F163="期限卡",IF(AND(K163&lt;&gt;"",K163&lt;&gt;0,I163&gt;H163),K163/(I163-H163),""),"")))</f>
        <v/>
      </c>
      <c r="R163" s="31">
        <f>IF(A163="","",IF(F163="次卡",IF(OR(K163="",K163=0,M163=0),"",Q163*O163),IF(F163="期限卡",IF(AND(K163&lt;&gt;"",K163&lt;&gt;0,I163&gt;H163),Q163*P163,""),"")))</f>
        <v/>
      </c>
      <c r="S163" s="57">
        <f>IF(A163="","",IF(COUNTIFS(上课记录!$B:$B,A163,上课记录!$J:$J,"是")&gt;0,_xlfn.MAXIFS(上课记录!$D:$D,上课记录!$B:$B,A163,上课记录!$J:$J,"是"),IF(H163&gt;0,H163,"未上课")))</f>
        <v/>
      </c>
      <c r="T163" s="31">
        <f>IF(A163="",0,IF(S163="未上课",0,IF(S163="",0,TODAY()-S163)))</f>
        <v/>
      </c>
      <c r="U163" s="31">
        <f>IF(OR(AND(F163="次卡",O163=0),AND(F163="期限卡",P163=0)),"已到期",IF(T163&gt;=10,"沉睡客户",IF(T163&gt;=7,"预警客户",IF(T163=0,IF(A163="","待更新","正常"),"正常"))))</f>
        <v/>
      </c>
      <c r="V163" s="11" t="n"/>
      <c r="W163" s="11" t="n"/>
    </row>
    <row r="164">
      <c r="A164" s="44" t="n"/>
      <c r="B164" s="11" t="n"/>
      <c r="C164" s="11" t="n"/>
      <c r="D164" s="11" t="n"/>
      <c r="E164" s="11" t="n"/>
      <c r="F164" s="11" t="n"/>
      <c r="G164" s="55" t="n"/>
      <c r="H164" s="55" t="n"/>
      <c r="I164" s="55" t="n"/>
      <c r="J164" s="56" t="n"/>
      <c r="K164" s="56" t="n"/>
      <c r="L164" s="46">
        <f>K164-J164</f>
        <v/>
      </c>
      <c r="M164" s="47" t="n"/>
      <c r="N164" s="48">
        <f>COUNTIFS(上课记录!$B:$B,A164,上课记录!$J:$J,"是")</f>
        <v/>
      </c>
      <c r="O164" s="31">
        <f>IF(F164="次卡",MAX(0,M164-N164),"—")</f>
        <v/>
      </c>
      <c r="P164" s="31">
        <f>IF(F164="期限卡",MAX(0,I164-TODAY()),"—")</f>
        <v/>
      </c>
      <c r="Q164" s="31">
        <f>IF(A164="","",IF(F164="次卡",IF(OR(K164="",K164=0,M164=0),"",K164/M164),IF(F164="期限卡",IF(AND(K164&lt;&gt;"",K164&lt;&gt;0,I164&gt;H164),K164/(I164-H164),""),"")))</f>
        <v/>
      </c>
      <c r="R164" s="31">
        <f>IF(A164="","",IF(F164="次卡",IF(OR(K164="",K164=0,M164=0),"",Q164*O164),IF(F164="期限卡",IF(AND(K164&lt;&gt;"",K164&lt;&gt;0,I164&gt;H164),Q164*P164,""),"")))</f>
        <v/>
      </c>
      <c r="S164" s="57">
        <f>IF(A164="","",IF(COUNTIFS(上课记录!$B:$B,A164,上课记录!$J:$J,"是")&gt;0,_xlfn.MAXIFS(上课记录!$D:$D,上课记录!$B:$B,A164,上课记录!$J:$J,"是"),IF(H164&gt;0,H164,"未上课")))</f>
        <v/>
      </c>
      <c r="T164" s="31">
        <f>IF(A164="",0,IF(S164="未上课",0,IF(S164="",0,TODAY()-S164)))</f>
        <v/>
      </c>
      <c r="U164" s="31">
        <f>IF(OR(AND(F164="次卡",O164=0),AND(F164="期限卡",P164=0)),"已到期",IF(T164&gt;=10,"沉睡客户",IF(T164&gt;=7,"预警客户",IF(T164=0,IF(A164="","待更新","正常"),"正常"))))</f>
        <v/>
      </c>
      <c r="V164" s="11" t="n"/>
      <c r="W164" s="11" t="n"/>
    </row>
    <row r="165">
      <c r="A165" s="44" t="n"/>
      <c r="B165" s="11" t="n"/>
      <c r="C165" s="11" t="n"/>
      <c r="D165" s="11" t="n"/>
      <c r="E165" s="11" t="n"/>
      <c r="F165" s="11" t="n"/>
      <c r="G165" s="55" t="n"/>
      <c r="H165" s="55" t="n"/>
      <c r="I165" s="55" t="n"/>
      <c r="J165" s="56" t="n"/>
      <c r="K165" s="56" t="n"/>
      <c r="L165" s="46">
        <f>K165-J165</f>
        <v/>
      </c>
      <c r="M165" s="47" t="n"/>
      <c r="N165" s="48">
        <f>COUNTIFS(上课记录!$B:$B,A165,上课记录!$J:$J,"是")</f>
        <v/>
      </c>
      <c r="O165" s="31">
        <f>IF(F165="次卡",MAX(0,M165-N165),"—")</f>
        <v/>
      </c>
      <c r="P165" s="31">
        <f>IF(F165="期限卡",MAX(0,I165-TODAY()),"—")</f>
        <v/>
      </c>
      <c r="Q165" s="31">
        <f>IF(A165="","",IF(F165="次卡",IF(OR(K165="",K165=0,M165=0),"",K165/M165),IF(F165="期限卡",IF(AND(K165&lt;&gt;"",K165&lt;&gt;0,I165&gt;H165),K165/(I165-H165),""),"")))</f>
        <v/>
      </c>
      <c r="R165" s="31">
        <f>IF(A165="","",IF(F165="次卡",IF(OR(K165="",K165=0,M165=0),"",Q165*O165),IF(F165="期限卡",IF(AND(K165&lt;&gt;"",K165&lt;&gt;0,I165&gt;H165),Q165*P165,""),"")))</f>
        <v/>
      </c>
      <c r="S165" s="57">
        <f>IF(A165="","",IF(COUNTIFS(上课记录!$B:$B,A165,上课记录!$J:$J,"是")&gt;0,_xlfn.MAXIFS(上课记录!$D:$D,上课记录!$B:$B,A165,上课记录!$J:$J,"是"),IF(H165&gt;0,H165,"未上课")))</f>
        <v/>
      </c>
      <c r="T165" s="31">
        <f>IF(A165="",0,IF(S165="未上课",0,IF(S165="",0,TODAY()-S165)))</f>
        <v/>
      </c>
      <c r="U165" s="31">
        <f>IF(OR(AND(F165="次卡",O165=0),AND(F165="期限卡",P165=0)),"已到期",IF(T165&gt;=10,"沉睡客户",IF(T165&gt;=7,"预警客户",IF(T165=0,IF(A165="","待更新","正常"),"正常"))))</f>
        <v/>
      </c>
      <c r="V165" s="11" t="n"/>
      <c r="W165" s="11" t="n"/>
    </row>
    <row r="166">
      <c r="A166" s="44" t="n"/>
      <c r="B166" s="11" t="n"/>
      <c r="C166" s="11" t="n"/>
      <c r="D166" s="11" t="n"/>
      <c r="E166" s="11" t="n"/>
      <c r="F166" s="11" t="n"/>
      <c r="G166" s="55" t="n"/>
      <c r="H166" s="55" t="n"/>
      <c r="I166" s="55" t="n"/>
      <c r="J166" s="56" t="n"/>
      <c r="K166" s="56" t="n"/>
      <c r="L166" s="46">
        <f>K166-J166</f>
        <v/>
      </c>
      <c r="M166" s="47" t="n"/>
      <c r="N166" s="48">
        <f>COUNTIFS(上课记录!$B:$B,A166,上课记录!$J:$J,"是")</f>
        <v/>
      </c>
      <c r="O166" s="31">
        <f>IF(F166="次卡",MAX(0,M166-N166),"—")</f>
        <v/>
      </c>
      <c r="P166" s="31">
        <f>IF(F166="期限卡",MAX(0,I166-TODAY()),"—")</f>
        <v/>
      </c>
      <c r="Q166" s="31">
        <f>IF(A166="","",IF(F166="次卡",IF(OR(K166="",K166=0,M166=0),"",K166/M166),IF(F166="期限卡",IF(AND(K166&lt;&gt;"",K166&lt;&gt;0,I166&gt;H166),K166/(I166-H166),""),"")))</f>
        <v/>
      </c>
      <c r="R166" s="31">
        <f>IF(A166="","",IF(F166="次卡",IF(OR(K166="",K166=0,M166=0),"",Q166*O166),IF(F166="期限卡",IF(AND(K166&lt;&gt;"",K166&lt;&gt;0,I166&gt;H166),Q166*P166,""),"")))</f>
        <v/>
      </c>
      <c r="S166" s="57">
        <f>IF(A166="","",IF(COUNTIFS(上课记录!$B:$B,A166,上课记录!$J:$J,"是")&gt;0,_xlfn.MAXIFS(上课记录!$D:$D,上课记录!$B:$B,A166,上课记录!$J:$J,"是"),IF(H166&gt;0,H166,"未上课")))</f>
        <v/>
      </c>
      <c r="T166" s="31">
        <f>IF(A166="",0,IF(S166="未上课",0,IF(S166="",0,TODAY()-S166)))</f>
        <v/>
      </c>
      <c r="U166" s="31">
        <f>IF(OR(AND(F166="次卡",O166=0),AND(F166="期限卡",P166=0)),"已到期",IF(T166&gt;=10,"沉睡客户",IF(T166&gt;=7,"预警客户",IF(T166=0,IF(A166="","待更新","正常"),"正常"))))</f>
        <v/>
      </c>
      <c r="V166" s="11" t="n"/>
      <c r="W166" s="11" t="n"/>
    </row>
    <row r="167">
      <c r="A167" s="44" t="n"/>
      <c r="B167" s="11" t="n"/>
      <c r="C167" s="11" t="n"/>
      <c r="D167" s="11" t="n"/>
      <c r="E167" s="11" t="n"/>
      <c r="F167" s="11" t="n"/>
      <c r="G167" s="55" t="n"/>
      <c r="H167" s="55" t="n"/>
      <c r="I167" s="55" t="n"/>
      <c r="J167" s="56" t="n"/>
      <c r="K167" s="56" t="n"/>
      <c r="L167" s="46">
        <f>K167-J167</f>
        <v/>
      </c>
      <c r="M167" s="47" t="n"/>
      <c r="N167" s="48">
        <f>COUNTIFS(上课记录!$B:$B,A167,上课记录!$J:$J,"是")</f>
        <v/>
      </c>
      <c r="O167" s="31">
        <f>IF(F167="次卡",MAX(0,M167-N167),"—")</f>
        <v/>
      </c>
      <c r="P167" s="31">
        <f>IF(F167="期限卡",MAX(0,I167-TODAY()),"—")</f>
        <v/>
      </c>
      <c r="Q167" s="31">
        <f>IF(A167="","",IF(F167="次卡",IF(OR(K167="",K167=0,M167=0),"",K167/M167),IF(F167="期限卡",IF(AND(K167&lt;&gt;"",K167&lt;&gt;0,I167&gt;H167),K167/(I167-H167),""),"")))</f>
        <v/>
      </c>
      <c r="R167" s="31">
        <f>IF(A167="","",IF(F167="次卡",IF(OR(K167="",K167=0,M167=0),"",Q167*O167),IF(F167="期限卡",IF(AND(K167&lt;&gt;"",K167&lt;&gt;0,I167&gt;H167),Q167*P167,""),"")))</f>
        <v/>
      </c>
      <c r="S167" s="57">
        <f>IF(A167="","",IF(COUNTIFS(上课记录!$B:$B,A167,上课记录!$J:$J,"是")&gt;0,_xlfn.MAXIFS(上课记录!$D:$D,上课记录!$B:$B,A167,上课记录!$J:$J,"是"),IF(H167&gt;0,H167,"未上课")))</f>
        <v/>
      </c>
      <c r="T167" s="31">
        <f>IF(A167="",0,IF(S167="未上课",0,IF(S167="",0,TODAY()-S167)))</f>
        <v/>
      </c>
      <c r="U167" s="31">
        <f>IF(OR(AND(F167="次卡",O167=0),AND(F167="期限卡",P167=0)),"已到期",IF(T167&gt;=10,"沉睡客户",IF(T167&gt;=7,"预警客户",IF(T167=0,IF(A167="","待更新","正常"),"正常"))))</f>
        <v/>
      </c>
      <c r="V167" s="11" t="n"/>
      <c r="W167" s="11" t="n"/>
    </row>
    <row r="168">
      <c r="A168" s="44" t="n"/>
      <c r="B168" s="11" t="n"/>
      <c r="C168" s="11" t="n"/>
      <c r="D168" s="11" t="n"/>
      <c r="E168" s="11" t="n"/>
      <c r="F168" s="11" t="n"/>
      <c r="G168" s="55" t="n"/>
      <c r="H168" s="55" t="n"/>
      <c r="I168" s="55" t="n"/>
      <c r="J168" s="56" t="n"/>
      <c r="K168" s="56" t="n"/>
      <c r="L168" s="46">
        <f>K168-J168</f>
        <v/>
      </c>
      <c r="M168" s="47" t="n"/>
      <c r="N168" s="48">
        <f>COUNTIFS(上课记录!$B:$B,A168,上课记录!$J:$J,"是")</f>
        <v/>
      </c>
      <c r="O168" s="31">
        <f>IF(F168="次卡",MAX(0,M168-N168),"—")</f>
        <v/>
      </c>
      <c r="P168" s="31">
        <f>IF(F168="期限卡",MAX(0,I168-TODAY()),"—")</f>
        <v/>
      </c>
      <c r="Q168" s="31">
        <f>IF(A168="","",IF(F168="次卡",IF(OR(K168="",K168=0,M168=0),"",K168/M168),IF(F168="期限卡",IF(AND(K168&lt;&gt;"",K168&lt;&gt;0,I168&gt;H168),K168/(I168-H168),""),"")))</f>
        <v/>
      </c>
      <c r="R168" s="31">
        <f>IF(A168="","",IF(F168="次卡",IF(OR(K168="",K168=0,M168=0),"",Q168*O168),IF(F168="期限卡",IF(AND(K168&lt;&gt;"",K168&lt;&gt;0,I168&gt;H168),Q168*P168,""),"")))</f>
        <v/>
      </c>
      <c r="S168" s="57">
        <f>IF(A168="","",IF(COUNTIFS(上课记录!$B:$B,A168,上课记录!$J:$J,"是")&gt;0,_xlfn.MAXIFS(上课记录!$D:$D,上课记录!$B:$B,A168,上课记录!$J:$J,"是"),IF(H168&gt;0,H168,"未上课")))</f>
        <v/>
      </c>
      <c r="T168" s="31">
        <f>IF(A168="",0,IF(S168="未上课",0,IF(S168="",0,TODAY()-S168)))</f>
        <v/>
      </c>
      <c r="U168" s="31">
        <f>IF(OR(AND(F168="次卡",O168=0),AND(F168="期限卡",P168=0)),"已到期",IF(T168&gt;=10,"沉睡客户",IF(T168&gt;=7,"预警客户",IF(T168=0,IF(A168="","待更新","正常"),"正常"))))</f>
        <v/>
      </c>
      <c r="V168" s="11" t="n"/>
      <c r="W168" s="11" t="n"/>
    </row>
    <row r="169">
      <c r="A169" s="44" t="n"/>
      <c r="B169" s="11" t="n"/>
      <c r="C169" s="11" t="n"/>
      <c r="D169" s="11" t="n"/>
      <c r="E169" s="11" t="n"/>
      <c r="F169" s="11" t="n"/>
      <c r="G169" s="55" t="n"/>
      <c r="H169" s="55" t="n"/>
      <c r="I169" s="55" t="n"/>
      <c r="J169" s="56" t="n"/>
      <c r="K169" s="56" t="n"/>
      <c r="L169" s="46">
        <f>K169-J169</f>
        <v/>
      </c>
      <c r="M169" s="47" t="n"/>
      <c r="N169" s="48">
        <f>COUNTIFS(上课记录!$B:$B,A169,上课记录!$J:$J,"是")</f>
        <v/>
      </c>
      <c r="O169" s="31">
        <f>IF(F169="次卡",MAX(0,M169-N169),"—")</f>
        <v/>
      </c>
      <c r="P169" s="31">
        <f>IF(F169="期限卡",MAX(0,I169-TODAY()),"—")</f>
        <v/>
      </c>
      <c r="Q169" s="31">
        <f>IF(A169="","",IF(F169="次卡",IF(OR(K169="",K169=0,M169=0),"",K169/M169),IF(F169="期限卡",IF(AND(K169&lt;&gt;"",K169&lt;&gt;0,I169&gt;H169),K169/(I169-H169),""),"")))</f>
        <v/>
      </c>
      <c r="R169" s="31">
        <f>IF(A169="","",IF(F169="次卡",IF(OR(K169="",K169=0,M169=0),"",Q169*O169),IF(F169="期限卡",IF(AND(K169&lt;&gt;"",K169&lt;&gt;0,I169&gt;H169),Q169*P169,""),"")))</f>
        <v/>
      </c>
      <c r="S169" s="57">
        <f>IF(A169="","",IF(COUNTIFS(上课记录!$B:$B,A169,上课记录!$J:$J,"是")&gt;0,_xlfn.MAXIFS(上课记录!$D:$D,上课记录!$B:$B,A169,上课记录!$J:$J,"是"),IF(H169&gt;0,H169,"未上课")))</f>
        <v/>
      </c>
      <c r="T169" s="31">
        <f>IF(A169="",0,IF(S169="未上课",0,IF(S169="",0,TODAY()-S169)))</f>
        <v/>
      </c>
      <c r="U169" s="31">
        <f>IF(OR(AND(F169="次卡",O169=0),AND(F169="期限卡",P169=0)),"已到期",IF(T169&gt;=10,"沉睡客户",IF(T169&gt;=7,"预警客户",IF(T169=0,IF(A169="","待更新","正常"),"正常"))))</f>
        <v/>
      </c>
      <c r="V169" s="11" t="n"/>
      <c r="W169" s="11" t="n"/>
    </row>
    <row r="170">
      <c r="A170" s="44" t="n"/>
      <c r="B170" s="11" t="n"/>
      <c r="C170" s="11" t="n"/>
      <c r="D170" s="11" t="n"/>
      <c r="E170" s="11" t="n"/>
      <c r="F170" s="11" t="n"/>
      <c r="G170" s="55" t="n"/>
      <c r="H170" s="55" t="n"/>
      <c r="I170" s="55" t="n"/>
      <c r="J170" s="56" t="n"/>
      <c r="K170" s="56" t="n"/>
      <c r="L170" s="46">
        <f>K170-J170</f>
        <v/>
      </c>
      <c r="M170" s="47" t="n"/>
      <c r="N170" s="48">
        <f>COUNTIFS(上课记录!$B:$B,A170,上课记录!$J:$J,"是")</f>
        <v/>
      </c>
      <c r="O170" s="31">
        <f>IF(F170="次卡",MAX(0,M170-N170),"—")</f>
        <v/>
      </c>
      <c r="P170" s="31">
        <f>IF(F170="期限卡",MAX(0,I170-TODAY()),"—")</f>
        <v/>
      </c>
      <c r="Q170" s="31">
        <f>IF(A170="","",IF(F170="次卡",IF(OR(K170="",K170=0,M170=0),"",K170/M170),IF(F170="期限卡",IF(AND(K170&lt;&gt;"",K170&lt;&gt;0,I170&gt;H170),K170/(I170-H170),""),"")))</f>
        <v/>
      </c>
      <c r="R170" s="31">
        <f>IF(A170="","",IF(F170="次卡",IF(OR(K170="",K170=0,M170=0),"",Q170*O170),IF(F170="期限卡",IF(AND(K170&lt;&gt;"",K170&lt;&gt;0,I170&gt;H170),Q170*P170,""),"")))</f>
        <v/>
      </c>
      <c r="S170" s="57">
        <f>IF(A170="","",IF(COUNTIFS(上课记录!$B:$B,A170,上课记录!$J:$J,"是")&gt;0,_xlfn.MAXIFS(上课记录!$D:$D,上课记录!$B:$B,A170,上课记录!$J:$J,"是"),IF(H170&gt;0,H170,"未上课")))</f>
        <v/>
      </c>
      <c r="T170" s="31">
        <f>IF(A170="",0,IF(S170="未上课",0,IF(S170="",0,TODAY()-S170)))</f>
        <v/>
      </c>
      <c r="U170" s="31">
        <f>IF(OR(AND(F170="次卡",O170=0),AND(F170="期限卡",P170=0)),"已到期",IF(T170&gt;=10,"沉睡客户",IF(T170&gt;=7,"预警客户",IF(T170=0,IF(A170="","待更新","正常"),"正常"))))</f>
        <v/>
      </c>
      <c r="V170" s="11" t="n"/>
      <c r="W170" s="11" t="n"/>
    </row>
    <row r="171">
      <c r="A171" s="44" t="n"/>
      <c r="B171" s="11" t="n"/>
      <c r="C171" s="11" t="n"/>
      <c r="D171" s="11" t="n"/>
      <c r="E171" s="11" t="n"/>
      <c r="F171" s="11" t="n"/>
      <c r="G171" s="55" t="n"/>
      <c r="H171" s="55" t="n"/>
      <c r="I171" s="55" t="n"/>
      <c r="J171" s="56" t="n"/>
      <c r="K171" s="56" t="n"/>
      <c r="L171" s="46">
        <f>K171-J171</f>
        <v/>
      </c>
      <c r="M171" s="47" t="n"/>
      <c r="N171" s="48">
        <f>COUNTIFS(上课记录!$B:$B,A171,上课记录!$J:$J,"是")</f>
        <v/>
      </c>
      <c r="O171" s="31">
        <f>IF(F171="次卡",MAX(0,M171-N171),"—")</f>
        <v/>
      </c>
      <c r="P171" s="31">
        <f>IF(F171="期限卡",MAX(0,I171-TODAY()),"—")</f>
        <v/>
      </c>
      <c r="Q171" s="31">
        <f>IF(A171="","",IF(F171="次卡",IF(OR(K171="",K171=0,M171=0),"",K171/M171),IF(F171="期限卡",IF(AND(K171&lt;&gt;"",K171&lt;&gt;0,I171&gt;H171),K171/(I171-H171),""),"")))</f>
        <v/>
      </c>
      <c r="R171" s="31">
        <f>IF(A171="","",IF(F171="次卡",IF(OR(K171="",K171=0,M171=0),"",Q171*O171),IF(F171="期限卡",IF(AND(K171&lt;&gt;"",K171&lt;&gt;0,I171&gt;H171),Q171*P171,""),"")))</f>
        <v/>
      </c>
      <c r="S171" s="57">
        <f>IF(A171="","",IF(COUNTIFS(上课记录!$B:$B,A171,上课记录!$J:$J,"是")&gt;0,_xlfn.MAXIFS(上课记录!$D:$D,上课记录!$B:$B,A171,上课记录!$J:$J,"是"),IF(H171&gt;0,H171,"未上课")))</f>
        <v/>
      </c>
      <c r="T171" s="31">
        <f>IF(A171="",0,IF(S171="未上课",0,IF(S171="",0,TODAY()-S171)))</f>
        <v/>
      </c>
      <c r="U171" s="31">
        <f>IF(OR(AND(F171="次卡",O171=0),AND(F171="期限卡",P171=0)),"已到期",IF(T171&gt;=10,"沉睡客户",IF(T171&gt;=7,"预警客户",IF(T171=0,IF(A171="","待更新","正常"),"正常"))))</f>
        <v/>
      </c>
      <c r="V171" s="11" t="n"/>
      <c r="W171" s="11" t="n"/>
    </row>
    <row r="172">
      <c r="A172" s="44" t="n"/>
      <c r="B172" s="11" t="n"/>
      <c r="C172" s="11" t="n"/>
      <c r="D172" s="11" t="n"/>
      <c r="E172" s="11" t="n"/>
      <c r="F172" s="11" t="n"/>
      <c r="G172" s="55" t="n"/>
      <c r="H172" s="55" t="n"/>
      <c r="I172" s="55" t="n"/>
      <c r="J172" s="56" t="n"/>
      <c r="K172" s="56" t="n"/>
      <c r="L172" s="46">
        <f>K172-J172</f>
        <v/>
      </c>
      <c r="M172" s="47" t="n"/>
      <c r="N172" s="48">
        <f>COUNTIFS(上课记录!$B:$B,A172,上课记录!$J:$J,"是")</f>
        <v/>
      </c>
      <c r="O172" s="31">
        <f>IF(F172="次卡",MAX(0,M172-N172),"—")</f>
        <v/>
      </c>
      <c r="P172" s="31">
        <f>IF(F172="期限卡",MAX(0,I172-TODAY()),"—")</f>
        <v/>
      </c>
      <c r="Q172" s="31">
        <f>IF(A172="","",IF(F172="次卡",IF(OR(K172="",K172=0,M172=0),"",K172/M172),IF(F172="期限卡",IF(AND(K172&lt;&gt;"",K172&lt;&gt;0,I172&gt;H172),K172/(I172-H172),""),"")))</f>
        <v/>
      </c>
      <c r="R172" s="31">
        <f>IF(A172="","",IF(F172="次卡",IF(OR(K172="",K172=0,M172=0),"",Q172*O172),IF(F172="期限卡",IF(AND(K172&lt;&gt;"",K172&lt;&gt;0,I172&gt;H172),Q172*P172,""),"")))</f>
        <v/>
      </c>
      <c r="S172" s="57">
        <f>IF(A172="","",IF(COUNTIFS(上课记录!$B:$B,A172,上课记录!$J:$J,"是")&gt;0,_xlfn.MAXIFS(上课记录!$D:$D,上课记录!$B:$B,A172,上课记录!$J:$J,"是"),IF(H172&gt;0,H172,"未上课")))</f>
        <v/>
      </c>
      <c r="T172" s="31">
        <f>IF(A172="",0,IF(S172="未上课",0,IF(S172="",0,TODAY()-S172)))</f>
        <v/>
      </c>
      <c r="U172" s="31">
        <f>IF(OR(AND(F172="次卡",O172=0),AND(F172="期限卡",P172=0)),"已到期",IF(T172&gt;=10,"沉睡客户",IF(T172&gt;=7,"预警客户",IF(T172=0,IF(A172="","待更新","正常"),"正常"))))</f>
        <v/>
      </c>
      <c r="V172" s="11" t="n"/>
      <c r="W172" s="11" t="n"/>
    </row>
    <row r="173">
      <c r="A173" s="44" t="n"/>
      <c r="B173" s="11" t="n"/>
      <c r="C173" s="11" t="n"/>
      <c r="D173" s="11" t="n"/>
      <c r="E173" s="11" t="n"/>
      <c r="F173" s="11" t="n"/>
      <c r="G173" s="55" t="n"/>
      <c r="H173" s="55" t="n"/>
      <c r="I173" s="55" t="n"/>
      <c r="J173" s="56" t="n"/>
      <c r="K173" s="56" t="n"/>
      <c r="L173" s="46">
        <f>K173-J173</f>
        <v/>
      </c>
      <c r="M173" s="47" t="n"/>
      <c r="N173" s="48">
        <f>COUNTIFS(上课记录!$B:$B,A173,上课记录!$J:$J,"是")</f>
        <v/>
      </c>
      <c r="O173" s="31">
        <f>IF(F173="次卡",MAX(0,M173-N173),"—")</f>
        <v/>
      </c>
      <c r="P173" s="31">
        <f>IF(F173="期限卡",MAX(0,I173-TODAY()),"—")</f>
        <v/>
      </c>
      <c r="Q173" s="31">
        <f>IF(A173="","",IF(F173="次卡",IF(OR(K173="",K173=0,M173=0),"",K173/M173),IF(F173="期限卡",IF(AND(K173&lt;&gt;"",K173&lt;&gt;0,I173&gt;H173),K173/(I173-H173),""),"")))</f>
        <v/>
      </c>
      <c r="R173" s="31">
        <f>IF(A173="","",IF(F173="次卡",IF(OR(K173="",K173=0,M173=0),"",Q173*O173),IF(F173="期限卡",IF(AND(K173&lt;&gt;"",K173&lt;&gt;0,I173&gt;H173),Q173*P173,""),"")))</f>
        <v/>
      </c>
      <c r="S173" s="57">
        <f>IF(A173="","",IF(COUNTIFS(上课记录!$B:$B,A173,上课记录!$J:$J,"是")&gt;0,_xlfn.MAXIFS(上课记录!$D:$D,上课记录!$B:$B,A173,上课记录!$J:$J,"是"),IF(H173&gt;0,H173,"未上课")))</f>
        <v/>
      </c>
      <c r="T173" s="31">
        <f>IF(A173="",0,IF(S173="未上课",0,IF(S173="",0,TODAY()-S173)))</f>
        <v/>
      </c>
      <c r="U173" s="31">
        <f>IF(OR(AND(F173="次卡",O173=0),AND(F173="期限卡",P173=0)),"已到期",IF(T173&gt;=10,"沉睡客户",IF(T173&gt;=7,"预警客户",IF(T173=0,IF(A173="","待更新","正常"),"正常"))))</f>
        <v/>
      </c>
      <c r="V173" s="11" t="n"/>
      <c r="W173" s="11" t="n"/>
    </row>
    <row r="174">
      <c r="A174" s="44" t="n"/>
      <c r="B174" s="11" t="n"/>
      <c r="C174" s="11" t="n"/>
      <c r="D174" s="11" t="n"/>
      <c r="E174" s="11" t="n"/>
      <c r="F174" s="11" t="n"/>
      <c r="G174" s="55" t="n"/>
      <c r="H174" s="55" t="n"/>
      <c r="I174" s="55" t="n"/>
      <c r="J174" s="56" t="n"/>
      <c r="K174" s="56" t="n"/>
      <c r="L174" s="46">
        <f>K174-J174</f>
        <v/>
      </c>
      <c r="M174" s="47" t="n"/>
      <c r="N174" s="48">
        <f>COUNTIFS(上课记录!$B:$B,A174,上课记录!$J:$J,"是")</f>
        <v/>
      </c>
      <c r="O174" s="31">
        <f>IF(F174="次卡",MAX(0,M174-N174),"—")</f>
        <v/>
      </c>
      <c r="P174" s="31">
        <f>IF(F174="期限卡",MAX(0,I174-TODAY()),"—")</f>
        <v/>
      </c>
      <c r="Q174" s="31">
        <f>IF(A174="","",IF(F174="次卡",IF(OR(K174="",K174=0,M174=0),"",K174/M174),IF(F174="期限卡",IF(AND(K174&lt;&gt;"",K174&lt;&gt;0,I174&gt;H174),K174/(I174-H174),""),"")))</f>
        <v/>
      </c>
      <c r="R174" s="31">
        <f>IF(A174="","",IF(F174="次卡",IF(OR(K174="",K174=0,M174=0),"",Q174*O174),IF(F174="期限卡",IF(AND(K174&lt;&gt;"",K174&lt;&gt;0,I174&gt;H174),Q174*P174,""),"")))</f>
        <v/>
      </c>
      <c r="S174" s="57">
        <f>IF(A174="","",IF(COUNTIFS(上课记录!$B:$B,A174,上课记录!$J:$J,"是")&gt;0,_xlfn.MAXIFS(上课记录!$D:$D,上课记录!$B:$B,A174,上课记录!$J:$J,"是"),IF(H174&gt;0,H174,"未上课")))</f>
        <v/>
      </c>
      <c r="T174" s="31">
        <f>IF(A174="",0,IF(S174="未上课",0,IF(S174="",0,TODAY()-S174)))</f>
        <v/>
      </c>
      <c r="U174" s="31">
        <f>IF(OR(AND(F174="次卡",O174=0),AND(F174="期限卡",P174=0)),"已到期",IF(T174&gt;=10,"沉睡客户",IF(T174&gt;=7,"预警客户",IF(T174=0,IF(A174="","待更新","正常"),"正常"))))</f>
        <v/>
      </c>
      <c r="V174" s="11" t="n"/>
      <c r="W174" s="11" t="n"/>
    </row>
    <row r="175">
      <c r="A175" s="44" t="n"/>
      <c r="B175" s="11" t="n"/>
      <c r="C175" s="11" t="n"/>
      <c r="D175" s="11" t="n"/>
      <c r="E175" s="11" t="n"/>
      <c r="F175" s="11" t="n"/>
      <c r="G175" s="55" t="n"/>
      <c r="H175" s="55" t="n"/>
      <c r="I175" s="55" t="n"/>
      <c r="J175" s="56" t="n"/>
      <c r="K175" s="56" t="n"/>
      <c r="L175" s="46">
        <f>K175-J175</f>
        <v/>
      </c>
      <c r="M175" s="47" t="n"/>
      <c r="N175" s="48">
        <f>COUNTIFS(上课记录!$B:$B,A175,上课记录!$J:$J,"是")</f>
        <v/>
      </c>
      <c r="O175" s="31">
        <f>IF(F175="次卡",MAX(0,M175-N175),"—")</f>
        <v/>
      </c>
      <c r="P175" s="31">
        <f>IF(F175="期限卡",MAX(0,I175-TODAY()),"—")</f>
        <v/>
      </c>
      <c r="Q175" s="31">
        <f>IF(A175="","",IF(F175="次卡",IF(OR(K175="",K175=0,M175=0),"",K175/M175),IF(F175="期限卡",IF(AND(K175&lt;&gt;"",K175&lt;&gt;0,I175&gt;H175),K175/(I175-H175),""),"")))</f>
        <v/>
      </c>
      <c r="R175" s="31">
        <f>IF(A175="","",IF(F175="次卡",IF(OR(K175="",K175=0,M175=0),"",Q175*O175),IF(F175="期限卡",IF(AND(K175&lt;&gt;"",K175&lt;&gt;0,I175&gt;H175),Q175*P175,""),"")))</f>
        <v/>
      </c>
      <c r="S175" s="57">
        <f>IF(A175="","",IF(COUNTIFS(上课记录!$B:$B,A175,上课记录!$J:$J,"是")&gt;0,_xlfn.MAXIFS(上课记录!$D:$D,上课记录!$B:$B,A175,上课记录!$J:$J,"是"),IF(H175&gt;0,H175,"未上课")))</f>
        <v/>
      </c>
      <c r="T175" s="31">
        <f>IF(A175="",0,IF(S175="未上课",0,IF(S175="",0,TODAY()-S175)))</f>
        <v/>
      </c>
      <c r="U175" s="31">
        <f>IF(OR(AND(F175="次卡",O175=0),AND(F175="期限卡",P175=0)),"已到期",IF(T175&gt;=10,"沉睡客户",IF(T175&gt;=7,"预警客户",IF(T175=0,IF(A175="","待更新","正常"),"正常"))))</f>
        <v/>
      </c>
      <c r="V175" s="11" t="n"/>
      <c r="W175" s="11" t="n"/>
    </row>
    <row r="176">
      <c r="A176" s="44" t="n"/>
      <c r="B176" s="11" t="n"/>
      <c r="C176" s="11" t="n"/>
      <c r="D176" s="11" t="n"/>
      <c r="E176" s="11" t="n"/>
      <c r="F176" s="11" t="n"/>
      <c r="G176" s="55" t="n"/>
      <c r="H176" s="55" t="n"/>
      <c r="I176" s="55" t="n"/>
      <c r="J176" s="56" t="n"/>
      <c r="K176" s="56" t="n"/>
      <c r="L176" s="46">
        <f>K176-J176</f>
        <v/>
      </c>
      <c r="M176" s="47" t="n"/>
      <c r="N176" s="48">
        <f>COUNTIFS(上课记录!$B:$B,A176,上课记录!$J:$J,"是")</f>
        <v/>
      </c>
      <c r="O176" s="31">
        <f>IF(F176="次卡",MAX(0,M176-N176),"—")</f>
        <v/>
      </c>
      <c r="P176" s="31">
        <f>IF(F176="期限卡",MAX(0,I176-TODAY()),"—")</f>
        <v/>
      </c>
      <c r="Q176" s="31">
        <f>IF(A176="","",IF(F176="次卡",IF(OR(K176="",K176=0,M176=0),"",K176/M176),IF(F176="期限卡",IF(AND(K176&lt;&gt;"",K176&lt;&gt;0,I176&gt;H176),K176/(I176-H176),""),"")))</f>
        <v/>
      </c>
      <c r="R176" s="31">
        <f>IF(A176="","",IF(F176="次卡",IF(OR(K176="",K176=0,M176=0),"",Q176*O176),IF(F176="期限卡",IF(AND(K176&lt;&gt;"",K176&lt;&gt;0,I176&gt;H176),Q176*P176,""),"")))</f>
        <v/>
      </c>
      <c r="S176" s="57">
        <f>IF(A176="","",IF(COUNTIFS(上课记录!$B:$B,A176,上课记录!$J:$J,"是")&gt;0,_xlfn.MAXIFS(上课记录!$D:$D,上课记录!$B:$B,A176,上课记录!$J:$J,"是"),IF(H176&gt;0,H176,"未上课")))</f>
        <v/>
      </c>
      <c r="T176" s="31">
        <f>IF(A176="",0,IF(S176="未上课",0,IF(S176="",0,TODAY()-S176)))</f>
        <v/>
      </c>
      <c r="U176" s="31">
        <f>IF(OR(AND(F176="次卡",O176=0),AND(F176="期限卡",P176=0)),"已到期",IF(T176&gt;=10,"沉睡客户",IF(T176&gt;=7,"预警客户",IF(T176=0,IF(A176="","待更新","正常"),"正常"))))</f>
        <v/>
      </c>
      <c r="V176" s="11" t="n"/>
      <c r="W176" s="11" t="n"/>
    </row>
    <row r="177">
      <c r="A177" s="44" t="n"/>
      <c r="B177" s="11" t="n"/>
      <c r="C177" s="11" t="n"/>
      <c r="D177" s="11" t="n"/>
      <c r="E177" s="11" t="n"/>
      <c r="F177" s="11" t="n"/>
      <c r="G177" s="55" t="n"/>
      <c r="H177" s="55" t="n"/>
      <c r="I177" s="55" t="n"/>
      <c r="J177" s="56" t="n"/>
      <c r="K177" s="56" t="n"/>
      <c r="L177" s="46">
        <f>K177-J177</f>
        <v/>
      </c>
      <c r="M177" s="47" t="n"/>
      <c r="N177" s="48">
        <f>COUNTIFS(上课记录!$B:$B,A177,上课记录!$J:$J,"是")</f>
        <v/>
      </c>
      <c r="O177" s="31">
        <f>IF(F177="次卡",MAX(0,M177-N177),"—")</f>
        <v/>
      </c>
      <c r="P177" s="31">
        <f>IF(F177="期限卡",MAX(0,I177-TODAY()),"—")</f>
        <v/>
      </c>
      <c r="Q177" s="31">
        <f>IF(A177="","",IF(F177="次卡",IF(OR(K177="",K177=0,M177=0),"",K177/M177),IF(F177="期限卡",IF(AND(K177&lt;&gt;"",K177&lt;&gt;0,I177&gt;H177),K177/(I177-H177),""),"")))</f>
        <v/>
      </c>
      <c r="R177" s="31">
        <f>IF(A177="","",IF(F177="次卡",IF(OR(K177="",K177=0,M177=0),"",Q177*O177),IF(F177="期限卡",IF(AND(K177&lt;&gt;"",K177&lt;&gt;0,I177&gt;H177),Q177*P177,""),"")))</f>
        <v/>
      </c>
      <c r="S177" s="57">
        <f>IF(A177="","",IF(COUNTIFS(上课记录!$B:$B,A177,上课记录!$J:$J,"是")&gt;0,_xlfn.MAXIFS(上课记录!$D:$D,上课记录!$B:$B,A177,上课记录!$J:$J,"是"),IF(H177&gt;0,H177,"未上课")))</f>
        <v/>
      </c>
      <c r="T177" s="31">
        <f>IF(A177="",0,IF(S177="未上课",0,IF(S177="",0,TODAY()-S177)))</f>
        <v/>
      </c>
      <c r="U177" s="31">
        <f>IF(OR(AND(F177="次卡",O177=0),AND(F177="期限卡",P177=0)),"已到期",IF(T177&gt;=10,"沉睡客户",IF(T177&gt;=7,"预警客户",IF(T177=0,IF(A177="","待更新","正常"),"正常"))))</f>
        <v/>
      </c>
      <c r="V177" s="11" t="n"/>
      <c r="W177" s="11" t="n"/>
    </row>
    <row r="178">
      <c r="A178" s="44" t="n"/>
      <c r="B178" s="11" t="n"/>
      <c r="C178" s="11" t="n"/>
      <c r="D178" s="11" t="n"/>
      <c r="E178" s="11" t="n"/>
      <c r="F178" s="11" t="n"/>
      <c r="G178" s="55" t="n"/>
      <c r="H178" s="55" t="n"/>
      <c r="I178" s="55" t="n"/>
      <c r="J178" s="56" t="n"/>
      <c r="K178" s="56" t="n"/>
      <c r="L178" s="46">
        <f>K178-J178</f>
        <v/>
      </c>
      <c r="M178" s="47" t="n"/>
      <c r="N178" s="48">
        <f>COUNTIFS(上课记录!$B:$B,A178,上课记录!$J:$J,"是")</f>
        <v/>
      </c>
      <c r="O178" s="31">
        <f>IF(F178="次卡",MAX(0,M178-N178),"—")</f>
        <v/>
      </c>
      <c r="P178" s="31">
        <f>IF(F178="期限卡",MAX(0,I178-TODAY()),"—")</f>
        <v/>
      </c>
      <c r="Q178" s="31">
        <f>IF(A178="","",IF(F178="次卡",IF(OR(K178="",K178=0,M178=0),"",K178/M178),IF(F178="期限卡",IF(AND(K178&lt;&gt;"",K178&lt;&gt;0,I178&gt;H178),K178/(I178-H178),""),"")))</f>
        <v/>
      </c>
      <c r="R178" s="31">
        <f>IF(A178="","",IF(F178="次卡",IF(OR(K178="",K178=0,M178=0),"",Q178*O178),IF(F178="期限卡",IF(AND(K178&lt;&gt;"",K178&lt;&gt;0,I178&gt;H178),Q178*P178,""),"")))</f>
        <v/>
      </c>
      <c r="S178" s="57">
        <f>IF(A178="","",IF(COUNTIFS(上课记录!$B:$B,A178,上课记录!$J:$J,"是")&gt;0,_xlfn.MAXIFS(上课记录!$D:$D,上课记录!$B:$B,A178,上课记录!$J:$J,"是"),IF(H178&gt;0,H178,"未上课")))</f>
        <v/>
      </c>
      <c r="T178" s="31">
        <f>IF(A178="",0,IF(S178="未上课",0,IF(S178="",0,TODAY()-S178)))</f>
        <v/>
      </c>
      <c r="U178" s="31">
        <f>IF(OR(AND(F178="次卡",O178=0),AND(F178="期限卡",P178=0)),"已到期",IF(T178&gt;=10,"沉睡客户",IF(T178&gt;=7,"预警客户",IF(T178=0,IF(A178="","待更新","正常"),"正常"))))</f>
        <v/>
      </c>
      <c r="V178" s="11" t="n"/>
      <c r="W178" s="11" t="n"/>
    </row>
    <row r="179">
      <c r="A179" s="44" t="n"/>
      <c r="B179" s="11" t="n"/>
      <c r="C179" s="11" t="n"/>
      <c r="D179" s="11" t="n"/>
      <c r="E179" s="11" t="n"/>
      <c r="F179" s="11" t="n"/>
      <c r="G179" s="55" t="n"/>
      <c r="H179" s="55" t="n"/>
      <c r="I179" s="55" t="n"/>
      <c r="J179" s="56" t="n"/>
      <c r="K179" s="56" t="n"/>
      <c r="L179" s="46">
        <f>K179-J179</f>
        <v/>
      </c>
      <c r="M179" s="47" t="n"/>
      <c r="N179" s="48">
        <f>COUNTIFS(上课记录!$B:$B,A179,上课记录!$J:$J,"是")</f>
        <v/>
      </c>
      <c r="O179" s="31">
        <f>IF(F179="次卡",MAX(0,M179-N179),"—")</f>
        <v/>
      </c>
      <c r="P179" s="31">
        <f>IF(F179="期限卡",MAX(0,I179-TODAY()),"—")</f>
        <v/>
      </c>
      <c r="Q179" s="31">
        <f>IF(A179="","",IF(F179="次卡",IF(OR(K179="",K179=0,M179=0),"",K179/M179),IF(F179="期限卡",IF(AND(K179&lt;&gt;"",K179&lt;&gt;0,I179&gt;H179),K179/(I179-H179),""),"")))</f>
        <v/>
      </c>
      <c r="R179" s="31">
        <f>IF(A179="","",IF(F179="次卡",IF(OR(K179="",K179=0,M179=0),"",Q179*O179),IF(F179="期限卡",IF(AND(K179&lt;&gt;"",K179&lt;&gt;0,I179&gt;H179),Q179*P179,""),"")))</f>
        <v/>
      </c>
      <c r="S179" s="57">
        <f>IF(A179="","",IF(COUNTIFS(上课记录!$B:$B,A179,上课记录!$J:$J,"是")&gt;0,_xlfn.MAXIFS(上课记录!$D:$D,上课记录!$B:$B,A179,上课记录!$J:$J,"是"),IF(H179&gt;0,H179,"未上课")))</f>
        <v/>
      </c>
      <c r="T179" s="31">
        <f>IF(A179="",0,IF(S179="未上课",0,IF(S179="",0,TODAY()-S179)))</f>
        <v/>
      </c>
      <c r="U179" s="31">
        <f>IF(OR(AND(F179="次卡",O179=0),AND(F179="期限卡",P179=0)),"已到期",IF(T179&gt;=10,"沉睡客户",IF(T179&gt;=7,"预警客户",IF(T179=0,IF(A179="","待更新","正常"),"正常"))))</f>
        <v/>
      </c>
      <c r="V179" s="11" t="n"/>
      <c r="W179" s="11" t="n"/>
    </row>
    <row r="180">
      <c r="A180" s="44" t="n"/>
      <c r="B180" s="11" t="n"/>
      <c r="C180" s="11" t="n"/>
      <c r="D180" s="11" t="n"/>
      <c r="E180" s="11" t="n"/>
      <c r="F180" s="11" t="n"/>
      <c r="G180" s="55" t="n"/>
      <c r="H180" s="55" t="n"/>
      <c r="I180" s="55" t="n"/>
      <c r="J180" s="56" t="n"/>
      <c r="K180" s="56" t="n"/>
      <c r="L180" s="46">
        <f>K180-J180</f>
        <v/>
      </c>
      <c r="M180" s="47" t="n"/>
      <c r="N180" s="48">
        <f>COUNTIFS(上课记录!$B:$B,A180,上课记录!$J:$J,"是")</f>
        <v/>
      </c>
      <c r="O180" s="31">
        <f>IF(F180="次卡",MAX(0,M180-N180),"—")</f>
        <v/>
      </c>
      <c r="P180" s="31">
        <f>IF(F180="期限卡",MAX(0,I180-TODAY()),"—")</f>
        <v/>
      </c>
      <c r="Q180" s="31">
        <f>IF(A180="","",IF(F180="次卡",IF(OR(K180="",K180=0,M180=0),"",K180/M180),IF(F180="期限卡",IF(AND(K180&lt;&gt;"",K180&lt;&gt;0,I180&gt;H180),K180/(I180-H180),""),"")))</f>
        <v/>
      </c>
      <c r="R180" s="31">
        <f>IF(A180="","",IF(F180="次卡",IF(OR(K180="",K180=0,M180=0),"",Q180*O180),IF(F180="期限卡",IF(AND(K180&lt;&gt;"",K180&lt;&gt;0,I180&gt;H180),Q180*P180,""),"")))</f>
        <v/>
      </c>
      <c r="S180" s="57">
        <f>IF(A180="","",IF(COUNTIFS(上课记录!$B:$B,A180,上课记录!$J:$J,"是")&gt;0,_xlfn.MAXIFS(上课记录!$D:$D,上课记录!$B:$B,A180,上课记录!$J:$J,"是"),IF(H180&gt;0,H180,"未上课")))</f>
        <v/>
      </c>
      <c r="T180" s="31">
        <f>IF(A180="",0,IF(S180="未上课",0,IF(S180="",0,TODAY()-S180)))</f>
        <v/>
      </c>
      <c r="U180" s="31">
        <f>IF(OR(AND(F180="次卡",O180=0),AND(F180="期限卡",P180=0)),"已到期",IF(T180&gt;=10,"沉睡客户",IF(T180&gt;=7,"预警客户",IF(T180=0,IF(A180="","待更新","正常"),"正常"))))</f>
        <v/>
      </c>
      <c r="V180" s="11" t="n"/>
      <c r="W180" s="11" t="n"/>
    </row>
    <row r="181">
      <c r="A181" s="44" t="n"/>
      <c r="B181" s="11" t="n"/>
      <c r="C181" s="11" t="n"/>
      <c r="D181" s="11" t="n"/>
      <c r="E181" s="11" t="n"/>
      <c r="F181" s="11" t="n"/>
      <c r="G181" s="55" t="n"/>
      <c r="H181" s="55" t="n"/>
      <c r="I181" s="55" t="n"/>
      <c r="J181" s="56" t="n"/>
      <c r="K181" s="56" t="n"/>
      <c r="L181" s="46">
        <f>K181-J181</f>
        <v/>
      </c>
      <c r="M181" s="47" t="n"/>
      <c r="N181" s="48">
        <f>COUNTIFS(上课记录!$B:$B,A181,上课记录!$J:$J,"是")</f>
        <v/>
      </c>
      <c r="O181" s="31">
        <f>IF(F181="次卡",MAX(0,M181-N181),"—")</f>
        <v/>
      </c>
      <c r="P181" s="31">
        <f>IF(F181="期限卡",MAX(0,I181-TODAY()),"—")</f>
        <v/>
      </c>
      <c r="Q181" s="31">
        <f>IF(A181="","",IF(F181="次卡",IF(OR(K181="",K181=0,M181=0),"",K181/M181),IF(F181="期限卡",IF(AND(K181&lt;&gt;"",K181&lt;&gt;0,I181&gt;H181),K181/(I181-H181),""),"")))</f>
        <v/>
      </c>
      <c r="R181" s="31">
        <f>IF(A181="","",IF(F181="次卡",IF(OR(K181="",K181=0,M181=0),"",Q181*O181),IF(F181="期限卡",IF(AND(K181&lt;&gt;"",K181&lt;&gt;0,I181&gt;H181),Q181*P181,""),"")))</f>
        <v/>
      </c>
      <c r="S181" s="57">
        <f>IF(A181="","",IF(COUNTIFS(上课记录!$B:$B,A181,上课记录!$J:$J,"是")&gt;0,_xlfn.MAXIFS(上课记录!$D:$D,上课记录!$B:$B,A181,上课记录!$J:$J,"是"),IF(H181&gt;0,H181,"未上课")))</f>
        <v/>
      </c>
      <c r="T181" s="31">
        <f>IF(A181="",0,IF(S181="未上课",0,IF(S181="",0,TODAY()-S181)))</f>
        <v/>
      </c>
      <c r="U181" s="31">
        <f>IF(OR(AND(F181="次卡",O181=0),AND(F181="期限卡",P181=0)),"已到期",IF(T181&gt;=10,"沉睡客户",IF(T181&gt;=7,"预警客户",IF(T181=0,IF(A181="","待更新","正常"),"正常"))))</f>
        <v/>
      </c>
      <c r="V181" s="11" t="n"/>
      <c r="W181" s="11" t="n"/>
    </row>
    <row r="182">
      <c r="A182" s="44" t="n"/>
      <c r="B182" s="11" t="n"/>
      <c r="C182" s="11" t="n"/>
      <c r="D182" s="11" t="n"/>
      <c r="E182" s="11" t="n"/>
      <c r="F182" s="11" t="n"/>
      <c r="G182" s="55" t="n"/>
      <c r="H182" s="55" t="n"/>
      <c r="I182" s="55" t="n"/>
      <c r="J182" s="56" t="n"/>
      <c r="K182" s="56" t="n"/>
      <c r="L182" s="46">
        <f>K182-J182</f>
        <v/>
      </c>
      <c r="M182" s="47" t="n"/>
      <c r="N182" s="48">
        <f>COUNTIFS(上课记录!$B:$B,A182,上课记录!$J:$J,"是")</f>
        <v/>
      </c>
      <c r="O182" s="31">
        <f>IF(F182="次卡",MAX(0,M182-N182),"—")</f>
        <v/>
      </c>
      <c r="P182" s="31">
        <f>IF(F182="期限卡",MAX(0,I182-TODAY()),"—")</f>
        <v/>
      </c>
      <c r="Q182" s="31">
        <f>IF(A182="","",IF(F182="次卡",IF(OR(K182="",K182=0,M182=0),"",K182/M182),IF(F182="期限卡",IF(AND(K182&lt;&gt;"",K182&lt;&gt;0,I182&gt;H182),K182/(I182-H182),""),"")))</f>
        <v/>
      </c>
      <c r="R182" s="31">
        <f>IF(A182="","",IF(F182="次卡",IF(OR(K182="",K182=0,M182=0),"",Q182*O182),IF(F182="期限卡",IF(AND(K182&lt;&gt;"",K182&lt;&gt;0,I182&gt;H182),Q182*P182,""),"")))</f>
        <v/>
      </c>
      <c r="S182" s="57">
        <f>IF(A182="","",IF(COUNTIFS(上课记录!$B:$B,A182,上课记录!$J:$J,"是")&gt;0,_xlfn.MAXIFS(上课记录!$D:$D,上课记录!$B:$B,A182,上课记录!$J:$J,"是"),IF(H182&gt;0,H182,"未上课")))</f>
        <v/>
      </c>
      <c r="T182" s="31">
        <f>IF(A182="",0,IF(S182="未上课",0,IF(S182="",0,TODAY()-S182)))</f>
        <v/>
      </c>
      <c r="U182" s="31">
        <f>IF(OR(AND(F182="次卡",O182=0),AND(F182="期限卡",P182=0)),"已到期",IF(T182&gt;=10,"沉睡客户",IF(T182&gt;=7,"预警客户",IF(T182=0,IF(A182="","待更新","正常"),"正常"))))</f>
        <v/>
      </c>
      <c r="V182" s="11" t="n"/>
      <c r="W182" s="11" t="n"/>
    </row>
    <row r="183">
      <c r="A183" s="44" t="n"/>
      <c r="B183" s="11" t="n"/>
      <c r="C183" s="11" t="n"/>
      <c r="D183" s="11" t="n"/>
      <c r="E183" s="11" t="n"/>
      <c r="F183" s="11" t="n"/>
      <c r="G183" s="55" t="n"/>
      <c r="H183" s="55" t="n"/>
      <c r="I183" s="55" t="n"/>
      <c r="J183" s="56" t="n"/>
      <c r="K183" s="56" t="n"/>
      <c r="L183" s="46">
        <f>K183-J183</f>
        <v/>
      </c>
      <c r="M183" s="47" t="n"/>
      <c r="N183" s="48">
        <f>COUNTIFS(上课记录!$B:$B,A183,上课记录!$J:$J,"是")</f>
        <v/>
      </c>
      <c r="O183" s="31">
        <f>IF(F183="次卡",MAX(0,M183-N183),"—")</f>
        <v/>
      </c>
      <c r="P183" s="31">
        <f>IF(F183="期限卡",MAX(0,I183-TODAY()),"—")</f>
        <v/>
      </c>
      <c r="Q183" s="31">
        <f>IF(A183="","",IF(F183="次卡",IF(OR(K183="",K183=0,M183=0),"",K183/M183),IF(F183="期限卡",IF(AND(K183&lt;&gt;"",K183&lt;&gt;0,I183&gt;H183),K183/(I183-H183),""),"")))</f>
        <v/>
      </c>
      <c r="R183" s="31">
        <f>IF(A183="","",IF(F183="次卡",IF(OR(K183="",K183=0,M183=0),"",Q183*O183),IF(F183="期限卡",IF(AND(K183&lt;&gt;"",K183&lt;&gt;0,I183&gt;H183),Q183*P183,""),"")))</f>
        <v/>
      </c>
      <c r="S183" s="57">
        <f>IF(A183="","",IF(COUNTIFS(上课记录!$B:$B,A183,上课记录!$J:$J,"是")&gt;0,_xlfn.MAXIFS(上课记录!$D:$D,上课记录!$B:$B,A183,上课记录!$J:$J,"是"),IF(H183&gt;0,H183,"未上课")))</f>
        <v/>
      </c>
      <c r="T183" s="31">
        <f>IF(A183="",0,IF(S183="未上课",0,IF(S183="",0,TODAY()-S183)))</f>
        <v/>
      </c>
      <c r="U183" s="31">
        <f>IF(OR(AND(F183="次卡",O183=0),AND(F183="期限卡",P183=0)),"已到期",IF(T183&gt;=10,"沉睡客户",IF(T183&gt;=7,"预警客户",IF(T183=0,IF(A183="","待更新","正常"),"正常"))))</f>
        <v/>
      </c>
      <c r="V183" s="11" t="n"/>
      <c r="W183" s="11" t="n"/>
    </row>
    <row r="184">
      <c r="A184" s="44" t="n"/>
      <c r="B184" s="11" t="n"/>
      <c r="C184" s="11" t="n"/>
      <c r="D184" s="11" t="n"/>
      <c r="E184" s="11" t="n"/>
      <c r="F184" s="11" t="n"/>
      <c r="G184" s="55" t="n"/>
      <c r="H184" s="55" t="n"/>
      <c r="I184" s="55" t="n"/>
      <c r="J184" s="56" t="n"/>
      <c r="K184" s="56" t="n"/>
      <c r="L184" s="46">
        <f>K184-J184</f>
        <v/>
      </c>
      <c r="M184" s="47" t="n"/>
      <c r="N184" s="48">
        <f>COUNTIFS(上课记录!$B:$B,A184,上课记录!$J:$J,"是")</f>
        <v/>
      </c>
      <c r="O184" s="31">
        <f>IF(F184="次卡",MAX(0,M184-N184),"—")</f>
        <v/>
      </c>
      <c r="P184" s="31">
        <f>IF(F184="期限卡",MAX(0,I184-TODAY()),"—")</f>
        <v/>
      </c>
      <c r="Q184" s="31">
        <f>IF(A184="","",IF(F184="次卡",IF(OR(K184="",K184=0,M184=0),"",K184/M184),IF(F184="期限卡",IF(AND(K184&lt;&gt;"",K184&lt;&gt;0,I184&gt;H184),K184/(I184-H184),""),"")))</f>
        <v/>
      </c>
      <c r="R184" s="31">
        <f>IF(A184="","",IF(F184="次卡",IF(OR(K184="",K184=0,M184=0),"",Q184*O184),IF(F184="期限卡",IF(AND(K184&lt;&gt;"",K184&lt;&gt;0,I184&gt;H184),Q184*P184,""),"")))</f>
        <v/>
      </c>
      <c r="S184" s="57">
        <f>IF(A184="","",IF(COUNTIFS(上课记录!$B:$B,A184,上课记录!$J:$J,"是")&gt;0,_xlfn.MAXIFS(上课记录!$D:$D,上课记录!$B:$B,A184,上课记录!$J:$J,"是"),IF(H184&gt;0,H184,"未上课")))</f>
        <v/>
      </c>
      <c r="T184" s="31">
        <f>IF(A184="",0,IF(S184="未上课",0,IF(S184="",0,TODAY()-S184)))</f>
        <v/>
      </c>
      <c r="U184" s="31">
        <f>IF(OR(AND(F184="次卡",O184=0),AND(F184="期限卡",P184=0)),"已到期",IF(T184&gt;=10,"沉睡客户",IF(T184&gt;=7,"预警客户",IF(T184=0,IF(A184="","待更新","正常"),"正常"))))</f>
        <v/>
      </c>
      <c r="V184" s="11" t="n"/>
      <c r="W184" s="11" t="n"/>
    </row>
    <row r="185">
      <c r="A185" s="44" t="n"/>
      <c r="B185" s="11" t="n"/>
      <c r="C185" s="11" t="n"/>
      <c r="D185" s="11" t="n"/>
      <c r="E185" s="11" t="n"/>
      <c r="F185" s="11" t="n"/>
      <c r="G185" s="55" t="n"/>
      <c r="H185" s="55" t="n"/>
      <c r="I185" s="55" t="n"/>
      <c r="J185" s="56" t="n"/>
      <c r="K185" s="56" t="n"/>
      <c r="L185" s="46">
        <f>K185-J185</f>
        <v/>
      </c>
      <c r="M185" s="47" t="n"/>
      <c r="N185" s="48">
        <f>COUNTIFS(上课记录!$B:$B,A185,上课记录!$J:$J,"是")</f>
        <v/>
      </c>
      <c r="O185" s="31">
        <f>IF(F185="次卡",MAX(0,M185-N185),"—")</f>
        <v/>
      </c>
      <c r="P185" s="31">
        <f>IF(F185="期限卡",MAX(0,I185-TODAY()),"—")</f>
        <v/>
      </c>
      <c r="Q185" s="31">
        <f>IF(A185="","",IF(F185="次卡",IF(OR(K185="",K185=0,M185=0),"",K185/M185),IF(F185="期限卡",IF(AND(K185&lt;&gt;"",K185&lt;&gt;0,I185&gt;H185),K185/(I185-H185),""),"")))</f>
        <v/>
      </c>
      <c r="R185" s="31">
        <f>IF(A185="","",IF(F185="次卡",IF(OR(K185="",K185=0,M185=0),"",Q185*O185),IF(F185="期限卡",IF(AND(K185&lt;&gt;"",K185&lt;&gt;0,I185&gt;H185),Q185*P185,""),"")))</f>
        <v/>
      </c>
      <c r="S185" s="57">
        <f>IF(A185="","",IF(COUNTIFS(上课记录!$B:$B,A185,上课记录!$J:$J,"是")&gt;0,_xlfn.MAXIFS(上课记录!$D:$D,上课记录!$B:$B,A185,上课记录!$J:$J,"是"),IF(H185&gt;0,H185,"未上课")))</f>
        <v/>
      </c>
      <c r="T185" s="31">
        <f>IF(A185="",0,IF(S185="未上课",0,IF(S185="",0,TODAY()-S185)))</f>
        <v/>
      </c>
      <c r="U185" s="31">
        <f>IF(OR(AND(F185="次卡",O185=0),AND(F185="期限卡",P185=0)),"已到期",IF(T185&gt;=10,"沉睡客户",IF(T185&gt;=7,"预警客户",IF(T185=0,IF(A185="","待更新","正常"),"正常"))))</f>
        <v/>
      </c>
      <c r="V185" s="11" t="n"/>
      <c r="W185" s="11" t="n"/>
    </row>
    <row r="186">
      <c r="A186" s="44" t="n"/>
      <c r="B186" s="11" t="n"/>
      <c r="C186" s="11" t="n"/>
      <c r="D186" s="11" t="n"/>
      <c r="E186" s="11" t="n"/>
      <c r="F186" s="11" t="n"/>
      <c r="G186" s="55" t="n"/>
      <c r="H186" s="55" t="n"/>
      <c r="I186" s="55" t="n"/>
      <c r="J186" s="56" t="n"/>
      <c r="K186" s="56" t="n"/>
      <c r="L186" s="46">
        <f>K186-J186</f>
        <v/>
      </c>
      <c r="M186" s="47" t="n"/>
      <c r="N186" s="48">
        <f>COUNTIFS(上课记录!$B:$B,A186,上课记录!$J:$J,"是")</f>
        <v/>
      </c>
      <c r="O186" s="31">
        <f>IF(F186="次卡",MAX(0,M186-N186),"—")</f>
        <v/>
      </c>
      <c r="P186" s="31">
        <f>IF(F186="期限卡",MAX(0,I186-TODAY()),"—")</f>
        <v/>
      </c>
      <c r="Q186" s="31">
        <f>IF(A186="","",IF(F186="次卡",IF(OR(K186="",K186=0,M186=0),"",K186/M186),IF(F186="期限卡",IF(AND(K186&lt;&gt;"",K186&lt;&gt;0,I186&gt;H186),K186/(I186-H186),""),"")))</f>
        <v/>
      </c>
      <c r="R186" s="31">
        <f>IF(A186="","",IF(F186="次卡",IF(OR(K186="",K186=0,M186=0),"",Q186*O186),IF(F186="期限卡",IF(AND(K186&lt;&gt;"",K186&lt;&gt;0,I186&gt;H186),Q186*P186,""),"")))</f>
        <v/>
      </c>
      <c r="S186" s="57">
        <f>IF(A186="","",IF(COUNTIFS(上课记录!$B:$B,A186,上课记录!$J:$J,"是")&gt;0,_xlfn.MAXIFS(上课记录!$D:$D,上课记录!$B:$B,A186,上课记录!$J:$J,"是"),IF(H186&gt;0,H186,"未上课")))</f>
        <v/>
      </c>
      <c r="T186" s="31">
        <f>IF(A186="",0,IF(S186="未上课",0,IF(S186="",0,TODAY()-S186)))</f>
        <v/>
      </c>
      <c r="U186" s="31">
        <f>IF(OR(AND(F186="次卡",O186=0),AND(F186="期限卡",P186=0)),"已到期",IF(T186&gt;=10,"沉睡客户",IF(T186&gt;=7,"预警客户",IF(T186=0,IF(A186="","待更新","正常"),"正常"))))</f>
        <v/>
      </c>
      <c r="V186" s="11" t="n"/>
      <c r="W186" s="11" t="n"/>
    </row>
    <row r="187">
      <c r="A187" s="44" t="n"/>
      <c r="B187" s="11" t="n"/>
      <c r="C187" s="11" t="n"/>
      <c r="D187" s="11" t="n"/>
      <c r="E187" s="11" t="n"/>
      <c r="F187" s="11" t="n"/>
      <c r="G187" s="55" t="n"/>
      <c r="H187" s="55" t="n"/>
      <c r="I187" s="55" t="n"/>
      <c r="J187" s="56" t="n"/>
      <c r="K187" s="56" t="n"/>
      <c r="L187" s="46">
        <f>K187-J187</f>
        <v/>
      </c>
      <c r="M187" s="47" t="n"/>
      <c r="N187" s="48">
        <f>COUNTIFS(上课记录!$B:$B,A187,上课记录!$J:$J,"是")</f>
        <v/>
      </c>
      <c r="O187" s="31">
        <f>IF(F187="次卡",MAX(0,M187-N187),"—")</f>
        <v/>
      </c>
      <c r="P187" s="31">
        <f>IF(F187="期限卡",MAX(0,I187-TODAY()),"—")</f>
        <v/>
      </c>
      <c r="Q187" s="31">
        <f>IF(A187="","",IF(F187="次卡",IF(OR(K187="",K187=0,M187=0),"",K187/M187),IF(F187="期限卡",IF(AND(K187&lt;&gt;"",K187&lt;&gt;0,I187&gt;H187),K187/(I187-H187),""),"")))</f>
        <v/>
      </c>
      <c r="R187" s="31">
        <f>IF(A187="","",IF(F187="次卡",IF(OR(K187="",K187=0,M187=0),"",Q187*O187),IF(F187="期限卡",IF(AND(K187&lt;&gt;"",K187&lt;&gt;0,I187&gt;H187),Q187*P187,""),"")))</f>
        <v/>
      </c>
      <c r="S187" s="57">
        <f>IF(A187="","",IF(COUNTIFS(上课记录!$B:$B,A187,上课记录!$J:$J,"是")&gt;0,_xlfn.MAXIFS(上课记录!$D:$D,上课记录!$B:$B,A187,上课记录!$J:$J,"是"),IF(H187&gt;0,H187,"未上课")))</f>
        <v/>
      </c>
      <c r="T187" s="31">
        <f>IF(A187="",0,IF(S187="未上课",0,IF(S187="",0,TODAY()-S187)))</f>
        <v/>
      </c>
      <c r="U187" s="31">
        <f>IF(OR(AND(F187="次卡",O187=0),AND(F187="期限卡",P187=0)),"已到期",IF(T187&gt;=10,"沉睡客户",IF(T187&gt;=7,"预警客户",IF(T187=0,IF(A187="","待更新","正常"),"正常"))))</f>
        <v/>
      </c>
      <c r="V187" s="11" t="n"/>
      <c r="W187" s="11" t="n"/>
    </row>
    <row r="188">
      <c r="A188" s="44" t="n"/>
      <c r="B188" s="11" t="n"/>
      <c r="C188" s="11" t="n"/>
      <c r="D188" s="11" t="n"/>
      <c r="E188" s="11" t="n"/>
      <c r="F188" s="11" t="n"/>
      <c r="G188" s="55" t="n"/>
      <c r="H188" s="55" t="n"/>
      <c r="I188" s="55" t="n"/>
      <c r="J188" s="56" t="n"/>
      <c r="K188" s="56" t="n"/>
      <c r="L188" s="46">
        <f>K188-J188</f>
        <v/>
      </c>
      <c r="M188" s="47" t="n"/>
      <c r="N188" s="48">
        <f>COUNTIFS(上课记录!$B:$B,A188,上课记录!$J:$J,"是")</f>
        <v/>
      </c>
      <c r="O188" s="31">
        <f>IF(F188="次卡",MAX(0,M188-N188),"—")</f>
        <v/>
      </c>
      <c r="P188" s="31">
        <f>IF(F188="期限卡",MAX(0,I188-TODAY()),"—")</f>
        <v/>
      </c>
      <c r="Q188" s="31">
        <f>IF(A188="","",IF(F188="次卡",IF(OR(K188="",K188=0,M188=0),"",K188/M188),IF(F188="期限卡",IF(AND(K188&lt;&gt;"",K188&lt;&gt;0,I188&gt;H188),K188/(I188-H188),""),"")))</f>
        <v/>
      </c>
      <c r="R188" s="31">
        <f>IF(A188="","",IF(F188="次卡",IF(OR(K188="",K188=0,M188=0),"",Q188*O188),IF(F188="期限卡",IF(AND(K188&lt;&gt;"",K188&lt;&gt;0,I188&gt;H188),Q188*P188,""),"")))</f>
        <v/>
      </c>
      <c r="S188" s="57">
        <f>IF(A188="","",IF(COUNTIFS(上课记录!$B:$B,A188,上课记录!$J:$J,"是")&gt;0,_xlfn.MAXIFS(上课记录!$D:$D,上课记录!$B:$B,A188,上课记录!$J:$J,"是"),IF(H188&gt;0,H188,"未上课")))</f>
        <v/>
      </c>
      <c r="T188" s="31">
        <f>IF(A188="",0,IF(S188="未上课",0,IF(S188="",0,TODAY()-S188)))</f>
        <v/>
      </c>
      <c r="U188" s="31">
        <f>IF(OR(AND(F188="次卡",O188=0),AND(F188="期限卡",P188=0)),"已到期",IF(T188&gt;=10,"沉睡客户",IF(T188&gt;=7,"预警客户",IF(T188=0,IF(A188="","待更新","正常"),"正常"))))</f>
        <v/>
      </c>
      <c r="V188" s="11" t="n"/>
      <c r="W188" s="11" t="n"/>
    </row>
    <row r="189">
      <c r="A189" s="44" t="n"/>
      <c r="B189" s="11" t="n"/>
      <c r="C189" s="11" t="n"/>
      <c r="D189" s="11" t="n"/>
      <c r="E189" s="11" t="n"/>
      <c r="F189" s="11" t="n"/>
      <c r="G189" s="55" t="n"/>
      <c r="H189" s="55" t="n"/>
      <c r="I189" s="55" t="n"/>
      <c r="J189" s="56" t="n"/>
      <c r="K189" s="56" t="n"/>
      <c r="L189" s="46">
        <f>K189-J189</f>
        <v/>
      </c>
      <c r="M189" s="47" t="n"/>
      <c r="N189" s="48">
        <f>COUNTIFS(上课记录!$B:$B,A189,上课记录!$J:$J,"是")</f>
        <v/>
      </c>
      <c r="O189" s="31">
        <f>IF(F189="次卡",MAX(0,M189-N189),"—")</f>
        <v/>
      </c>
      <c r="P189" s="31">
        <f>IF(F189="期限卡",MAX(0,I189-TODAY()),"—")</f>
        <v/>
      </c>
      <c r="Q189" s="31">
        <f>IF(A189="","",IF(F189="次卡",IF(OR(K189="",K189=0,M189=0),"",K189/M189),IF(F189="期限卡",IF(AND(K189&lt;&gt;"",K189&lt;&gt;0,I189&gt;H189),K189/(I189-H189),""),"")))</f>
        <v/>
      </c>
      <c r="R189" s="31">
        <f>IF(A189="","",IF(F189="次卡",IF(OR(K189="",K189=0,M189=0),"",Q189*O189),IF(F189="期限卡",IF(AND(K189&lt;&gt;"",K189&lt;&gt;0,I189&gt;H189),Q189*P189,""),"")))</f>
        <v/>
      </c>
      <c r="S189" s="57">
        <f>IF(A189="","",IF(COUNTIFS(上课记录!$B:$B,A189,上课记录!$J:$J,"是")&gt;0,_xlfn.MAXIFS(上课记录!$D:$D,上课记录!$B:$B,A189,上课记录!$J:$J,"是"),IF(H189&gt;0,H189,"未上课")))</f>
        <v/>
      </c>
      <c r="T189" s="31">
        <f>IF(A189="",0,IF(S189="未上课",0,IF(S189="",0,TODAY()-S189)))</f>
        <v/>
      </c>
      <c r="U189" s="31">
        <f>IF(OR(AND(F189="次卡",O189=0),AND(F189="期限卡",P189=0)),"已到期",IF(T189&gt;=10,"沉睡客户",IF(T189&gt;=7,"预警客户",IF(T189=0,IF(A189="","待更新","正常"),"正常"))))</f>
        <v/>
      </c>
      <c r="V189" s="11" t="n"/>
      <c r="W189" s="11" t="n"/>
    </row>
    <row r="190">
      <c r="A190" s="44" t="n"/>
      <c r="B190" s="11" t="n"/>
      <c r="C190" s="11" t="n"/>
      <c r="D190" s="11" t="n"/>
      <c r="E190" s="11" t="n"/>
      <c r="F190" s="11" t="n"/>
      <c r="G190" s="55" t="n"/>
      <c r="H190" s="55" t="n"/>
      <c r="I190" s="55" t="n"/>
      <c r="J190" s="56" t="n"/>
      <c r="K190" s="56" t="n"/>
      <c r="L190" s="46">
        <f>K190-J190</f>
        <v/>
      </c>
      <c r="M190" s="47" t="n"/>
      <c r="N190" s="48">
        <f>COUNTIFS(上课记录!$B:$B,A190,上课记录!$J:$J,"是")</f>
        <v/>
      </c>
      <c r="O190" s="31">
        <f>IF(F190="次卡",MAX(0,M190-N190),"—")</f>
        <v/>
      </c>
      <c r="P190" s="31">
        <f>IF(F190="期限卡",MAX(0,I190-TODAY()),"—")</f>
        <v/>
      </c>
      <c r="Q190" s="31">
        <f>IF(A190="","",IF(F190="次卡",IF(OR(K190="",K190=0,M190=0),"",K190/M190),IF(F190="期限卡",IF(AND(K190&lt;&gt;"",K190&lt;&gt;0,I190&gt;H190),K190/(I190-H190),""),"")))</f>
        <v/>
      </c>
      <c r="R190" s="31">
        <f>IF(A190="","",IF(F190="次卡",IF(OR(K190="",K190=0,M190=0),"",Q190*O190),IF(F190="期限卡",IF(AND(K190&lt;&gt;"",K190&lt;&gt;0,I190&gt;H190),Q190*P190,""),"")))</f>
        <v/>
      </c>
      <c r="S190" s="57">
        <f>IF(A190="","",IF(COUNTIFS(上课记录!$B:$B,A190,上课记录!$J:$J,"是")&gt;0,_xlfn.MAXIFS(上课记录!$D:$D,上课记录!$B:$B,A190,上课记录!$J:$J,"是"),IF(H190&gt;0,H190,"未上课")))</f>
        <v/>
      </c>
      <c r="T190" s="31">
        <f>IF(A190="",0,IF(S190="未上课",0,IF(S190="",0,TODAY()-S190)))</f>
        <v/>
      </c>
      <c r="U190" s="31">
        <f>IF(OR(AND(F190="次卡",O190=0),AND(F190="期限卡",P190=0)),"已到期",IF(T190&gt;=10,"沉睡客户",IF(T190&gt;=7,"预警客户",IF(T190=0,IF(A190="","待更新","正常"),"正常"))))</f>
        <v/>
      </c>
      <c r="V190" s="11" t="n"/>
      <c r="W190" s="11" t="n"/>
    </row>
    <row r="191">
      <c r="A191" s="44" t="n"/>
      <c r="B191" s="11" t="n"/>
      <c r="C191" s="11" t="n"/>
      <c r="D191" s="11" t="n"/>
      <c r="E191" s="11" t="n"/>
      <c r="F191" s="11" t="n"/>
      <c r="G191" s="55" t="n"/>
      <c r="H191" s="55" t="n"/>
      <c r="I191" s="55" t="n"/>
      <c r="J191" s="56" t="n"/>
      <c r="K191" s="56" t="n"/>
      <c r="L191" s="46">
        <f>K191-J191</f>
        <v/>
      </c>
      <c r="M191" s="47" t="n"/>
      <c r="N191" s="48">
        <f>COUNTIFS(上课记录!$B:$B,A191,上课记录!$J:$J,"是")</f>
        <v/>
      </c>
      <c r="O191" s="31">
        <f>IF(F191="次卡",MAX(0,M191-N191),"—")</f>
        <v/>
      </c>
      <c r="P191" s="31">
        <f>IF(F191="期限卡",MAX(0,I191-TODAY()),"—")</f>
        <v/>
      </c>
      <c r="Q191" s="31">
        <f>IF(A191="","",IF(F191="次卡",IF(OR(K191="",K191=0,M191=0),"",K191/M191),IF(F191="期限卡",IF(AND(K191&lt;&gt;"",K191&lt;&gt;0,I191&gt;H191),K191/(I191-H191),""),"")))</f>
        <v/>
      </c>
      <c r="R191" s="31">
        <f>IF(A191="","",IF(F191="次卡",IF(OR(K191="",K191=0,M191=0),"",Q191*O191),IF(F191="期限卡",IF(AND(K191&lt;&gt;"",K191&lt;&gt;0,I191&gt;H191),Q191*P191,""),"")))</f>
        <v/>
      </c>
      <c r="S191" s="57">
        <f>IF(A191="","",IF(COUNTIFS(上课记录!$B:$B,A191,上课记录!$J:$J,"是")&gt;0,_xlfn.MAXIFS(上课记录!$D:$D,上课记录!$B:$B,A191,上课记录!$J:$J,"是"),IF(H191&gt;0,H191,"未上课")))</f>
        <v/>
      </c>
      <c r="T191" s="31">
        <f>IF(A191="",0,IF(S191="未上课",0,IF(S191="",0,TODAY()-S191)))</f>
        <v/>
      </c>
      <c r="U191" s="31">
        <f>IF(OR(AND(F191="次卡",O191=0),AND(F191="期限卡",P191=0)),"已到期",IF(T191&gt;=10,"沉睡客户",IF(T191&gt;=7,"预警客户",IF(T191=0,IF(A191="","待更新","正常"),"正常"))))</f>
        <v/>
      </c>
      <c r="V191" s="11" t="n"/>
      <c r="W191" s="11" t="n"/>
    </row>
    <row r="192">
      <c r="A192" s="44" t="n"/>
      <c r="B192" s="11" t="n"/>
      <c r="C192" s="11" t="n"/>
      <c r="D192" s="11" t="n"/>
      <c r="E192" s="11" t="n"/>
      <c r="F192" s="11" t="n"/>
      <c r="G192" s="55" t="n"/>
      <c r="H192" s="55" t="n"/>
      <c r="I192" s="55" t="n"/>
      <c r="J192" s="56" t="n"/>
      <c r="K192" s="56" t="n"/>
      <c r="L192" s="46">
        <f>K192-J192</f>
        <v/>
      </c>
      <c r="M192" s="47" t="n"/>
      <c r="N192" s="48">
        <f>COUNTIFS(上课记录!$B:$B,A192,上课记录!$J:$J,"是")</f>
        <v/>
      </c>
      <c r="O192" s="31">
        <f>IF(F192="次卡",MAX(0,M192-N192),"—")</f>
        <v/>
      </c>
      <c r="P192" s="31">
        <f>IF(F192="期限卡",MAX(0,I192-TODAY()),"—")</f>
        <v/>
      </c>
      <c r="Q192" s="31">
        <f>IF(A192="","",IF(F192="次卡",IF(OR(K192="",K192=0,M192=0),"",K192/M192),IF(F192="期限卡",IF(AND(K192&lt;&gt;"",K192&lt;&gt;0,I192&gt;H192),K192/(I192-H192),""),"")))</f>
        <v/>
      </c>
      <c r="R192" s="31">
        <f>IF(A192="","",IF(F192="次卡",IF(OR(K192="",K192=0,M192=0),"",Q192*O192),IF(F192="期限卡",IF(AND(K192&lt;&gt;"",K192&lt;&gt;0,I192&gt;H192),Q192*P192,""),"")))</f>
        <v/>
      </c>
      <c r="S192" s="57">
        <f>IF(A192="","",IF(COUNTIFS(上课记录!$B:$B,A192,上课记录!$J:$J,"是")&gt;0,_xlfn.MAXIFS(上课记录!$D:$D,上课记录!$B:$B,A192,上课记录!$J:$J,"是"),IF(H192&gt;0,H192,"未上课")))</f>
        <v/>
      </c>
      <c r="T192" s="31">
        <f>IF(A192="",0,IF(S192="未上课",0,IF(S192="",0,TODAY()-S192)))</f>
        <v/>
      </c>
      <c r="U192" s="31">
        <f>IF(OR(AND(F192="次卡",O192=0),AND(F192="期限卡",P192=0)),"已到期",IF(T192&gt;=10,"沉睡客户",IF(T192&gt;=7,"预警客户",IF(T192=0,IF(A192="","待更新","正常"),"正常"))))</f>
        <v/>
      </c>
      <c r="V192" s="11" t="n"/>
      <c r="W192" s="11" t="n"/>
    </row>
    <row r="193">
      <c r="A193" s="44" t="n"/>
      <c r="B193" s="11" t="n"/>
      <c r="C193" s="11" t="n"/>
      <c r="D193" s="11" t="n"/>
      <c r="E193" s="11" t="n"/>
      <c r="F193" s="11" t="n"/>
      <c r="G193" s="55" t="n"/>
      <c r="H193" s="55" t="n"/>
      <c r="I193" s="55" t="n"/>
      <c r="J193" s="56" t="n"/>
      <c r="K193" s="56" t="n"/>
      <c r="L193" s="46">
        <f>K193-J193</f>
        <v/>
      </c>
      <c r="M193" s="47" t="n"/>
      <c r="N193" s="48">
        <f>COUNTIFS(上课记录!$B:$B,A193,上课记录!$J:$J,"是")</f>
        <v/>
      </c>
      <c r="O193" s="31">
        <f>IF(F193="次卡",MAX(0,M193-N193),"—")</f>
        <v/>
      </c>
      <c r="P193" s="31">
        <f>IF(F193="期限卡",MAX(0,I193-TODAY()),"—")</f>
        <v/>
      </c>
      <c r="Q193" s="31">
        <f>IF(A193="","",IF(F193="次卡",IF(OR(K193="",K193=0,M193=0),"",K193/M193),IF(F193="期限卡",IF(AND(K193&lt;&gt;"",K193&lt;&gt;0,I193&gt;H193),K193/(I193-H193),""),"")))</f>
        <v/>
      </c>
      <c r="R193" s="31">
        <f>IF(A193="","",IF(F193="次卡",IF(OR(K193="",K193=0,M193=0),"",Q193*O193),IF(F193="期限卡",IF(AND(K193&lt;&gt;"",K193&lt;&gt;0,I193&gt;H193),Q193*P193,""),"")))</f>
        <v/>
      </c>
      <c r="S193" s="57">
        <f>IF(A193="","",IF(COUNTIFS(上课记录!$B:$B,A193,上课记录!$J:$J,"是")&gt;0,_xlfn.MAXIFS(上课记录!$D:$D,上课记录!$B:$B,A193,上课记录!$J:$J,"是"),IF(H193&gt;0,H193,"未上课")))</f>
        <v/>
      </c>
      <c r="T193" s="31">
        <f>IF(A193="",0,IF(S193="未上课",0,IF(S193="",0,TODAY()-S193)))</f>
        <v/>
      </c>
      <c r="U193" s="31">
        <f>IF(OR(AND(F193="次卡",O193=0),AND(F193="期限卡",P193=0)),"已到期",IF(T193&gt;=10,"沉睡客户",IF(T193&gt;=7,"预警客户",IF(T193=0,IF(A193="","待更新","正常"),"正常"))))</f>
        <v/>
      </c>
      <c r="V193" s="11" t="n"/>
      <c r="W193" s="11" t="n"/>
    </row>
    <row r="194">
      <c r="A194" s="44" t="n"/>
      <c r="B194" s="11" t="n"/>
      <c r="C194" s="11" t="n"/>
      <c r="D194" s="11" t="n"/>
      <c r="E194" s="11" t="n"/>
      <c r="F194" s="11" t="n"/>
      <c r="G194" s="55" t="n"/>
      <c r="H194" s="55" t="n"/>
      <c r="I194" s="55" t="n"/>
      <c r="J194" s="56" t="n"/>
      <c r="K194" s="56" t="n"/>
      <c r="L194" s="46">
        <f>K194-J194</f>
        <v/>
      </c>
      <c r="M194" s="47" t="n"/>
      <c r="N194" s="48">
        <f>COUNTIFS(上课记录!$B:$B,A194,上课记录!$J:$J,"是")</f>
        <v/>
      </c>
      <c r="O194" s="31">
        <f>IF(F194="次卡",MAX(0,M194-N194),"—")</f>
        <v/>
      </c>
      <c r="P194" s="31">
        <f>IF(F194="期限卡",MAX(0,I194-TODAY()),"—")</f>
        <v/>
      </c>
      <c r="Q194" s="31">
        <f>IF(A194="","",IF(F194="次卡",IF(OR(K194="",K194=0,M194=0),"",K194/M194),IF(F194="期限卡",IF(AND(K194&lt;&gt;"",K194&lt;&gt;0,I194&gt;H194),K194/(I194-H194),""),"")))</f>
        <v/>
      </c>
      <c r="R194" s="31">
        <f>IF(A194="","",IF(F194="次卡",IF(OR(K194="",K194=0,M194=0),"",Q194*O194),IF(F194="期限卡",IF(AND(K194&lt;&gt;"",K194&lt;&gt;0,I194&gt;H194),Q194*P194,""),"")))</f>
        <v/>
      </c>
      <c r="S194" s="57">
        <f>IF(A194="","",IF(COUNTIFS(上课记录!$B:$B,A194,上课记录!$J:$J,"是")&gt;0,_xlfn.MAXIFS(上课记录!$D:$D,上课记录!$B:$B,A194,上课记录!$J:$J,"是"),IF(H194&gt;0,H194,"未上课")))</f>
        <v/>
      </c>
      <c r="T194" s="31">
        <f>IF(A194="",0,IF(S194="未上课",0,IF(S194="",0,TODAY()-S194)))</f>
        <v/>
      </c>
      <c r="U194" s="31">
        <f>IF(OR(AND(F194="次卡",O194=0),AND(F194="期限卡",P194=0)),"已到期",IF(T194&gt;=10,"沉睡客户",IF(T194&gt;=7,"预警客户",IF(T194=0,IF(A194="","待更新","正常"),"正常"))))</f>
        <v/>
      </c>
      <c r="V194" s="11" t="n"/>
      <c r="W194" s="11" t="n"/>
    </row>
    <row r="195">
      <c r="A195" s="44" t="n"/>
      <c r="B195" s="11" t="n"/>
      <c r="C195" s="11" t="n"/>
      <c r="D195" s="11" t="n"/>
      <c r="E195" s="11" t="n"/>
      <c r="F195" s="11" t="n"/>
      <c r="G195" s="55" t="n"/>
      <c r="H195" s="55" t="n"/>
      <c r="I195" s="55" t="n"/>
      <c r="J195" s="56" t="n"/>
      <c r="K195" s="56" t="n"/>
      <c r="L195" s="46">
        <f>K195-J195</f>
        <v/>
      </c>
      <c r="M195" s="47" t="n"/>
      <c r="N195" s="48">
        <f>COUNTIFS(上课记录!$B:$B,A195,上课记录!$J:$J,"是")</f>
        <v/>
      </c>
      <c r="O195" s="31">
        <f>IF(F195="次卡",MAX(0,M195-N195),"—")</f>
        <v/>
      </c>
      <c r="P195" s="31">
        <f>IF(F195="期限卡",MAX(0,I195-TODAY()),"—")</f>
        <v/>
      </c>
      <c r="Q195" s="31">
        <f>IF(A195="","",IF(F195="次卡",IF(OR(K195="",K195=0,M195=0),"",K195/M195),IF(F195="期限卡",IF(AND(K195&lt;&gt;"",K195&lt;&gt;0,I195&gt;H195),K195/(I195-H195),""),"")))</f>
        <v/>
      </c>
      <c r="R195" s="31">
        <f>IF(A195="","",IF(F195="次卡",IF(OR(K195="",K195=0,M195=0),"",Q195*O195),IF(F195="期限卡",IF(AND(K195&lt;&gt;"",K195&lt;&gt;0,I195&gt;H195),Q195*P195,""),"")))</f>
        <v/>
      </c>
      <c r="S195" s="57">
        <f>IF(A195="","",IF(COUNTIFS(上课记录!$B:$B,A195,上课记录!$J:$J,"是")&gt;0,_xlfn.MAXIFS(上课记录!$D:$D,上课记录!$B:$B,A195,上课记录!$J:$J,"是"),IF(H195&gt;0,H195,"未上课")))</f>
        <v/>
      </c>
      <c r="T195" s="31">
        <f>IF(A195="",0,IF(S195="未上课",0,IF(S195="",0,TODAY()-S195)))</f>
        <v/>
      </c>
      <c r="U195" s="31">
        <f>IF(OR(AND(F195="次卡",O195=0),AND(F195="期限卡",P195=0)),"已到期",IF(T195&gt;=10,"沉睡客户",IF(T195&gt;=7,"预警客户",IF(T195=0,IF(A195="","待更新","正常"),"正常"))))</f>
        <v/>
      </c>
      <c r="V195" s="11" t="n"/>
      <c r="W195" s="11" t="n"/>
    </row>
    <row r="196">
      <c r="A196" s="44" t="n"/>
      <c r="B196" s="11" t="n"/>
      <c r="C196" s="11" t="n"/>
      <c r="D196" s="11" t="n"/>
      <c r="E196" s="11" t="n"/>
      <c r="F196" s="11" t="n"/>
      <c r="G196" s="55" t="n"/>
      <c r="H196" s="55" t="n"/>
      <c r="I196" s="55" t="n"/>
      <c r="J196" s="56" t="n"/>
      <c r="K196" s="56" t="n"/>
      <c r="L196" s="46">
        <f>K196-J196</f>
        <v/>
      </c>
      <c r="M196" s="47" t="n"/>
      <c r="N196" s="48">
        <f>COUNTIFS(上课记录!$B:$B,A196,上课记录!$J:$J,"是")</f>
        <v/>
      </c>
      <c r="O196" s="31">
        <f>IF(F196="次卡",MAX(0,M196-N196),"—")</f>
        <v/>
      </c>
      <c r="P196" s="31">
        <f>IF(F196="期限卡",MAX(0,I196-TODAY()),"—")</f>
        <v/>
      </c>
      <c r="Q196" s="31">
        <f>IF(A196="","",IF(F196="次卡",IF(OR(K196="",K196=0,M196=0),"",K196/M196),IF(F196="期限卡",IF(AND(K196&lt;&gt;"",K196&lt;&gt;0,I196&gt;H196),K196/(I196-H196),""),"")))</f>
        <v/>
      </c>
      <c r="R196" s="31">
        <f>IF(A196="","",IF(F196="次卡",IF(OR(K196="",K196=0,M196=0),"",Q196*O196),IF(F196="期限卡",IF(AND(K196&lt;&gt;"",K196&lt;&gt;0,I196&gt;H196),Q196*P196,""),"")))</f>
        <v/>
      </c>
      <c r="S196" s="57">
        <f>IF(A196="","",IF(COUNTIFS(上课记录!$B:$B,A196,上课记录!$J:$J,"是")&gt;0,_xlfn.MAXIFS(上课记录!$D:$D,上课记录!$B:$B,A196,上课记录!$J:$J,"是"),IF(H196&gt;0,H196,"未上课")))</f>
        <v/>
      </c>
      <c r="T196" s="31">
        <f>IF(A196="",0,IF(S196="未上课",0,IF(S196="",0,TODAY()-S196)))</f>
        <v/>
      </c>
      <c r="U196" s="31">
        <f>IF(OR(AND(F196="次卡",O196=0),AND(F196="期限卡",P196=0)),"已到期",IF(T196&gt;=10,"沉睡客户",IF(T196&gt;=7,"预警客户",IF(T196=0,IF(A196="","待更新","正常"),"正常"))))</f>
        <v/>
      </c>
      <c r="V196" s="11" t="n"/>
      <c r="W196" s="11" t="n"/>
    </row>
    <row r="197">
      <c r="A197" s="44" t="n"/>
      <c r="B197" s="11" t="n"/>
      <c r="C197" s="11" t="n"/>
      <c r="D197" s="11" t="n"/>
      <c r="E197" s="11" t="n"/>
      <c r="F197" s="11" t="n"/>
      <c r="G197" s="55" t="n"/>
      <c r="H197" s="55" t="n"/>
      <c r="I197" s="55" t="n"/>
      <c r="J197" s="56" t="n"/>
      <c r="K197" s="56" t="n"/>
      <c r="L197" s="46">
        <f>K197-J197</f>
        <v/>
      </c>
      <c r="M197" s="47" t="n"/>
      <c r="N197" s="48">
        <f>COUNTIFS(上课记录!$B:$B,A197,上课记录!$J:$J,"是")</f>
        <v/>
      </c>
      <c r="O197" s="31">
        <f>IF(F197="次卡",MAX(0,M197-N197),"—")</f>
        <v/>
      </c>
      <c r="P197" s="31">
        <f>IF(F197="期限卡",MAX(0,I197-TODAY()),"—")</f>
        <v/>
      </c>
      <c r="Q197" s="31">
        <f>IF(A197="","",IF(F197="次卡",IF(OR(K197="",K197=0,M197=0),"",K197/M197),IF(F197="期限卡",IF(AND(K197&lt;&gt;"",K197&lt;&gt;0,I197&gt;H197),K197/(I197-H197),""),"")))</f>
        <v/>
      </c>
      <c r="R197" s="31">
        <f>IF(A197="","",IF(F197="次卡",IF(OR(K197="",K197=0,M197=0),"",Q197*O197),IF(F197="期限卡",IF(AND(K197&lt;&gt;"",K197&lt;&gt;0,I197&gt;H197),Q197*P197,""),"")))</f>
        <v/>
      </c>
      <c r="S197" s="57">
        <f>IF(A197="","",IF(COUNTIFS(上课记录!$B:$B,A197,上课记录!$J:$J,"是")&gt;0,_xlfn.MAXIFS(上课记录!$D:$D,上课记录!$B:$B,A197,上课记录!$J:$J,"是"),IF(H197&gt;0,H197,"未上课")))</f>
        <v/>
      </c>
      <c r="T197" s="31">
        <f>IF(A197="",0,IF(S197="未上课",0,IF(S197="",0,TODAY()-S197)))</f>
        <v/>
      </c>
      <c r="U197" s="31">
        <f>IF(OR(AND(F197="次卡",O197=0),AND(F197="期限卡",P197=0)),"已到期",IF(T197&gt;=10,"沉睡客户",IF(T197&gt;=7,"预警客户",IF(T197=0,IF(A197="","待更新","正常"),"正常"))))</f>
        <v/>
      </c>
      <c r="V197" s="11" t="n"/>
      <c r="W197" s="11" t="n"/>
    </row>
    <row r="198">
      <c r="A198" s="44" t="n"/>
      <c r="B198" s="11" t="n"/>
      <c r="C198" s="11" t="n"/>
      <c r="D198" s="11" t="n"/>
      <c r="E198" s="11" t="n"/>
      <c r="F198" s="11" t="n"/>
      <c r="G198" s="55" t="n"/>
      <c r="H198" s="55" t="n"/>
      <c r="I198" s="55" t="n"/>
      <c r="J198" s="56" t="n"/>
      <c r="K198" s="56" t="n"/>
      <c r="L198" s="46">
        <f>K198-J198</f>
        <v/>
      </c>
      <c r="M198" s="47" t="n"/>
      <c r="N198" s="48">
        <f>COUNTIFS(上课记录!$B:$B,A198,上课记录!$J:$J,"是")</f>
        <v/>
      </c>
      <c r="O198" s="31">
        <f>IF(F198="次卡",MAX(0,M198-N198),"—")</f>
        <v/>
      </c>
      <c r="P198" s="31">
        <f>IF(F198="期限卡",MAX(0,I198-TODAY()),"—")</f>
        <v/>
      </c>
      <c r="Q198" s="31">
        <f>IF(A198="","",IF(F198="次卡",IF(OR(K198="",K198=0,M198=0),"",K198/M198),IF(F198="期限卡",IF(AND(K198&lt;&gt;"",K198&lt;&gt;0,I198&gt;H198),K198/(I198-H198),""),"")))</f>
        <v/>
      </c>
      <c r="R198" s="31">
        <f>IF(A198="","",IF(F198="次卡",IF(OR(K198="",K198=0,M198=0),"",Q198*O198),IF(F198="期限卡",IF(AND(K198&lt;&gt;"",K198&lt;&gt;0,I198&gt;H198),Q198*P198,""),"")))</f>
        <v/>
      </c>
      <c r="S198" s="57">
        <f>IF(A198="","",IF(COUNTIFS(上课记录!$B:$B,A198,上课记录!$J:$J,"是")&gt;0,_xlfn.MAXIFS(上课记录!$D:$D,上课记录!$B:$B,A198,上课记录!$J:$J,"是"),IF(H198&gt;0,H198,"未上课")))</f>
        <v/>
      </c>
      <c r="T198" s="31">
        <f>IF(A198="",0,IF(S198="未上课",0,IF(S198="",0,TODAY()-S198)))</f>
        <v/>
      </c>
      <c r="U198" s="31">
        <f>IF(OR(AND(F198="次卡",O198=0),AND(F198="期限卡",P198=0)),"已到期",IF(T198&gt;=10,"沉睡客户",IF(T198&gt;=7,"预警客户",IF(T198=0,IF(A198="","待更新","正常"),"正常"))))</f>
        <v/>
      </c>
      <c r="V198" s="11" t="n"/>
      <c r="W198" s="11" t="n"/>
    </row>
    <row r="199">
      <c r="A199" s="44" t="n"/>
      <c r="B199" s="11" t="n"/>
      <c r="C199" s="11" t="n"/>
      <c r="D199" s="11" t="n"/>
      <c r="E199" s="11" t="n"/>
      <c r="F199" s="11" t="n"/>
      <c r="G199" s="55" t="n"/>
      <c r="H199" s="55" t="n"/>
      <c r="I199" s="55" t="n"/>
      <c r="J199" s="56" t="n"/>
      <c r="K199" s="56" t="n"/>
      <c r="L199" s="46">
        <f>K199-J199</f>
        <v/>
      </c>
      <c r="M199" s="47" t="n"/>
      <c r="N199" s="48">
        <f>COUNTIFS(上课记录!$B:$B,A199,上课记录!$J:$J,"是")</f>
        <v/>
      </c>
      <c r="O199" s="31">
        <f>IF(F199="次卡",MAX(0,M199-N199),"—")</f>
        <v/>
      </c>
      <c r="P199" s="31">
        <f>IF(F199="期限卡",MAX(0,I199-TODAY()),"—")</f>
        <v/>
      </c>
      <c r="Q199" s="31">
        <f>IF(A199="","",IF(F199="次卡",IF(OR(K199="",K199=0,M199=0),"",K199/M199),IF(F199="期限卡",IF(AND(K199&lt;&gt;"",K199&lt;&gt;0,I199&gt;H199),K199/(I199-H199),""),"")))</f>
        <v/>
      </c>
      <c r="R199" s="31">
        <f>IF(A199="","",IF(F199="次卡",IF(OR(K199="",K199=0,M199=0),"",Q199*O199),IF(F199="期限卡",IF(AND(K199&lt;&gt;"",K199&lt;&gt;0,I199&gt;H199),Q199*P199,""),"")))</f>
        <v/>
      </c>
      <c r="S199" s="57">
        <f>IF(A199="","",IF(COUNTIFS(上课记录!$B:$B,A199,上课记录!$J:$J,"是")&gt;0,_xlfn.MAXIFS(上课记录!$D:$D,上课记录!$B:$B,A199,上课记录!$J:$J,"是"),IF(H199&gt;0,H199,"未上课")))</f>
        <v/>
      </c>
      <c r="T199" s="31">
        <f>IF(A199="",0,IF(S199="未上课",0,IF(S199="",0,TODAY()-S199)))</f>
        <v/>
      </c>
      <c r="U199" s="31">
        <f>IF(OR(AND(F199="次卡",O199=0),AND(F199="期限卡",P199=0)),"已到期",IF(T199&gt;=10,"沉睡客户",IF(T199&gt;=7,"预警客户",IF(T199=0,IF(A199="","待更新","正常"),"正常"))))</f>
        <v/>
      </c>
      <c r="V199" s="11" t="n"/>
      <c r="W199" s="11" t="n"/>
    </row>
    <row r="200">
      <c r="A200" s="44" t="n"/>
      <c r="B200" s="11" t="n"/>
      <c r="C200" s="11" t="n"/>
      <c r="D200" s="11" t="n"/>
      <c r="E200" s="11" t="n"/>
      <c r="F200" s="11" t="n"/>
      <c r="G200" s="55" t="n"/>
      <c r="H200" s="55" t="n"/>
      <c r="I200" s="55" t="n"/>
      <c r="J200" s="56" t="n"/>
      <c r="K200" s="56" t="n"/>
      <c r="L200" s="46">
        <f>K200-J200</f>
        <v/>
      </c>
      <c r="M200" s="47" t="n"/>
      <c r="N200" s="48">
        <f>COUNTIFS(上课记录!$B:$B,A200,上课记录!$J:$J,"是")</f>
        <v/>
      </c>
      <c r="O200" s="31">
        <f>IF(F200="次卡",MAX(0,M200-N200),"—")</f>
        <v/>
      </c>
      <c r="P200" s="31">
        <f>IF(F200="期限卡",MAX(0,I200-TODAY()),"—")</f>
        <v/>
      </c>
      <c r="Q200" s="31">
        <f>IF(A200="","",IF(F200="次卡",IF(OR(K200="",K200=0,M200=0),"",K200/M200),IF(F200="期限卡",IF(AND(K200&lt;&gt;"",K200&lt;&gt;0,I200&gt;H200),K200/(I200-H200),""),"")))</f>
        <v/>
      </c>
      <c r="R200" s="31">
        <f>IF(A200="","",IF(F200="次卡",IF(OR(K200="",K200=0,M200=0),"",Q200*O200),IF(F200="期限卡",IF(AND(K200&lt;&gt;"",K200&lt;&gt;0,I200&gt;H200),Q200*P200,""),"")))</f>
        <v/>
      </c>
      <c r="S200" s="57">
        <f>IF(A200="","",IF(COUNTIFS(上课记录!$B:$B,A200,上课记录!$J:$J,"是")&gt;0,_xlfn.MAXIFS(上课记录!$D:$D,上课记录!$B:$B,A200,上课记录!$J:$J,"是"),IF(H200&gt;0,H200,"未上课")))</f>
        <v/>
      </c>
      <c r="T200" s="31">
        <f>IF(A200="",0,IF(S200="未上课",0,IF(S200="",0,TODAY()-S200)))</f>
        <v/>
      </c>
      <c r="U200" s="31">
        <f>IF(OR(AND(F200="次卡",O200=0),AND(F200="期限卡",P200=0)),"已到期",IF(T200&gt;=10,"沉睡客户",IF(T200&gt;=7,"预警客户",IF(T200=0,IF(A200="","待更新","正常"),"正常"))))</f>
        <v/>
      </c>
      <c r="V200" s="11" t="n"/>
      <c r="W200" s="11" t="n"/>
    </row>
    <row r="201">
      <c r="A201" s="44" t="n"/>
      <c r="B201" s="11" t="n"/>
      <c r="C201" s="11" t="n"/>
      <c r="D201" s="11" t="n"/>
      <c r="E201" s="11" t="n"/>
      <c r="F201" s="11" t="n"/>
      <c r="G201" s="55" t="n"/>
      <c r="H201" s="55" t="n"/>
      <c r="I201" s="55" t="n"/>
      <c r="J201" s="11" t="n"/>
      <c r="K201" s="56" t="n"/>
      <c r="L201" s="46">
        <f>K201-J201</f>
        <v/>
      </c>
      <c r="M201" s="47" t="n"/>
      <c r="N201" s="48">
        <f>IF(A201="","",COUNTIFS(上课记录!$B:$B,A201,上课记录!$J:$J,"是"))</f>
        <v/>
      </c>
      <c r="O201" s="31">
        <f>IF(A201="","",IF(F201="次卡",MAX(0,M201-N201),"—"))</f>
        <v/>
      </c>
      <c r="P201" s="31">
        <f>IF(A201="","",IF(F201="期限卡",MAX(0,I201-TODAY()),"—"))</f>
        <v/>
      </c>
      <c r="Q201" s="31">
        <f>IF(A201="","",IF(F201="次卡",IF(OR(K201="",K201=0,M201=0),"",K201/M201),IF(F201="期限卡",IF(AND(K201&lt;&gt;"",K201&lt;&gt;0,I201&gt;H201),K201/(I201-H201),""),"")))</f>
        <v/>
      </c>
      <c r="R201" s="31">
        <f>IF(A201="","",IF(F201="次卡",IF(OR(K201="",K201=0,M201=0),"",Q201*O201),IF(F201="期限卡",IF(AND(K201&lt;&gt;"",K201&lt;&gt;0,I201&gt;H201),Q201*P201,""),"")))</f>
        <v/>
      </c>
      <c r="S201" s="58">
        <f>IF(A201="","",IFERROR(_xlfn.MAXIFS(上课记录!$D:$D,上课记录!$B:$B,A201,上课记录!$J:$J,"是"),""))</f>
        <v/>
      </c>
      <c r="T201" s="31">
        <f>IF(A201="","",IF(S201="","",TODAY()-S201))</f>
        <v/>
      </c>
      <c r="U201" s="31">
        <f>IF(A201="","",IF(OR(AND(F201="次卡",O201=0),AND(F201="期限卡",P201=0)),"已到期",IF(T201&gt;=10,"沉睡客户",IF(T201&gt;=7,"预警客户","正常"))))</f>
        <v/>
      </c>
      <c r="V201" s="11" t="n"/>
      <c r="W201" s="11" t="n"/>
    </row>
    <row r="202">
      <c r="A202" s="44" t="n"/>
      <c r="B202" s="11" t="n"/>
      <c r="C202" s="11" t="n"/>
      <c r="D202" s="11" t="n"/>
      <c r="E202" s="11" t="n"/>
      <c r="F202" s="11" t="n"/>
      <c r="G202" s="55" t="n"/>
      <c r="H202" s="55" t="n"/>
      <c r="I202" s="55" t="n"/>
      <c r="J202" s="11" t="n"/>
      <c r="K202" s="56" t="n"/>
      <c r="L202" s="46">
        <f>K202-J202</f>
        <v/>
      </c>
      <c r="M202" s="47" t="n"/>
      <c r="N202" s="48">
        <f>IF(A202="","",COUNTIFS(上课记录!$B:$B,A202,上课记录!$J:$J,"是"))</f>
        <v/>
      </c>
      <c r="O202" s="31">
        <f>IF(A202="","",IF(F202="次卡",MAX(0,M202-N202),"—"))</f>
        <v/>
      </c>
      <c r="P202" s="31">
        <f>IF(A202="","",IF(F202="期限卡",MAX(0,I202-TODAY()),"—"))</f>
        <v/>
      </c>
      <c r="Q202" s="31">
        <f>IF(A202="","",IF(F202="次卡",IF(OR(K202="",K202=0,M202=0),"",K202/M202),IF(F202="期限卡",IF(AND(K202&lt;&gt;"",K202&lt;&gt;0,I202&gt;H202),K202/(I202-H202),""),"")))</f>
        <v/>
      </c>
      <c r="R202" s="31">
        <f>IF(A202="","",IF(F202="次卡",IF(OR(K202="",K202=0,M202=0),"",Q202*O202),IF(F202="期限卡",IF(AND(K202&lt;&gt;"",K202&lt;&gt;0,I202&gt;H202),Q202*P202,""),"")))</f>
        <v/>
      </c>
      <c r="S202" s="58">
        <f>IF(A202="","",IFERROR(_xlfn.MAXIFS(上课记录!$D:$D,上课记录!$B:$B,A202,上课记录!$J:$J,"是"),""))</f>
        <v/>
      </c>
      <c r="T202" s="31">
        <f>IF(A202="","",IF(S202="","",TODAY()-S202))</f>
        <v/>
      </c>
      <c r="U202" s="31">
        <f>IF(A202="","",IF(OR(AND(F202="次卡",O202=0),AND(F202="期限卡",P202=0)),"已到期",IF(T202&gt;=10,"沉睡客户",IF(T202&gt;=7,"预警客户","正常"))))</f>
        <v/>
      </c>
      <c r="V202" s="11" t="n"/>
      <c r="W202" s="11" t="n"/>
    </row>
    <row r="203">
      <c r="A203" s="44" t="n"/>
      <c r="B203" s="11" t="n"/>
      <c r="C203" s="11" t="n"/>
      <c r="D203" s="11" t="n"/>
      <c r="E203" s="11" t="n"/>
      <c r="F203" s="11" t="n"/>
      <c r="G203" s="55" t="n"/>
      <c r="H203" s="55" t="n"/>
      <c r="I203" s="55" t="n"/>
      <c r="J203" s="11" t="n"/>
      <c r="K203" s="56" t="n"/>
      <c r="L203" s="46">
        <f>K203-J203</f>
        <v/>
      </c>
      <c r="M203" s="47" t="n"/>
      <c r="N203" s="48">
        <f>IF(A203="","",COUNTIFS(上课记录!$B:$B,A203,上课记录!$J:$J,"是"))</f>
        <v/>
      </c>
      <c r="O203" s="31">
        <f>IF(A203="","",IF(F203="次卡",MAX(0,M203-N203),"—"))</f>
        <v/>
      </c>
      <c r="P203" s="31">
        <f>IF(A203="","",IF(F203="期限卡",MAX(0,I203-TODAY()),"—"))</f>
        <v/>
      </c>
      <c r="Q203" s="31">
        <f>IF(A203="","",IF(F203="次卡",IF(OR(K203="",K203=0,M203=0),"",K203/M203),IF(F203="期限卡",IF(AND(K203&lt;&gt;"",K203&lt;&gt;0,I203&gt;H203),K203/(I203-H203),""),"")))</f>
        <v/>
      </c>
      <c r="R203" s="31">
        <f>IF(A203="","",IF(F203="次卡",IF(OR(K203="",K203=0,M203=0),"",Q203*O203),IF(F203="期限卡",IF(AND(K203&lt;&gt;"",K203&lt;&gt;0,I203&gt;H203),Q203*P203,""),"")))</f>
        <v/>
      </c>
      <c r="S203" s="58">
        <f>IF(A203="","",IFERROR(_xlfn.MAXIFS(上课记录!$D:$D,上课记录!$B:$B,A203,上课记录!$J:$J,"是"),""))</f>
        <v/>
      </c>
      <c r="T203" s="31">
        <f>IF(A203="","",IF(S203="","",TODAY()-S203))</f>
        <v/>
      </c>
      <c r="U203" s="31">
        <f>IF(A203="","",IF(OR(AND(F203="次卡",O203=0),AND(F203="期限卡",P203=0)),"已到期",IF(T203&gt;=10,"沉睡客户",IF(T203&gt;=7,"预警客户","正常"))))</f>
        <v/>
      </c>
      <c r="V203" s="11" t="n"/>
      <c r="W203" s="11" t="n"/>
    </row>
    <row r="204">
      <c r="A204" s="44" t="n"/>
      <c r="B204" s="11" t="n"/>
      <c r="C204" s="11" t="n"/>
      <c r="D204" s="11" t="n"/>
      <c r="E204" s="11" t="n"/>
      <c r="F204" s="11" t="n"/>
      <c r="G204" s="55" t="n"/>
      <c r="H204" s="55" t="n"/>
      <c r="I204" s="55" t="n"/>
      <c r="J204" s="11" t="n"/>
      <c r="K204" s="56" t="n"/>
      <c r="L204" s="46">
        <f>K204-J204</f>
        <v/>
      </c>
      <c r="M204" s="47" t="n"/>
      <c r="N204" s="48">
        <f>IF(A204="","",COUNTIFS(上课记录!$B:$B,A204,上课记录!$J:$J,"是"))</f>
        <v/>
      </c>
      <c r="O204" s="31">
        <f>IF(A204="","",IF(F204="次卡",MAX(0,M204-N204),"—"))</f>
        <v/>
      </c>
      <c r="P204" s="31">
        <f>IF(A204="","",IF(F204="期限卡",MAX(0,I204-TODAY()),"—"))</f>
        <v/>
      </c>
      <c r="Q204" s="31">
        <f>IF(A204="","",IF(F204="次卡",IF(OR(K204="",K204=0,M204=0),"",K204/M204),IF(F204="期限卡",IF(AND(K204&lt;&gt;"",K204&lt;&gt;0,I204&gt;H204),K204/(I204-H204),""),"")))</f>
        <v/>
      </c>
      <c r="R204" s="31">
        <f>IF(A204="","",IF(F204="次卡",IF(OR(K204="",K204=0,M204=0),"",Q204*O204),IF(F204="期限卡",IF(AND(K204&lt;&gt;"",K204&lt;&gt;0,I204&gt;H204),Q204*P204,""),"")))</f>
        <v/>
      </c>
      <c r="S204" s="58">
        <f>IF(A204="","",IFERROR(_xlfn.MAXIFS(上课记录!$D:$D,上课记录!$B:$B,A204,上课记录!$J:$J,"是"),""))</f>
        <v/>
      </c>
      <c r="T204" s="31">
        <f>IF(A204="","",IF(S204="","",TODAY()-S204))</f>
        <v/>
      </c>
      <c r="U204" s="31">
        <f>IF(A204="","",IF(OR(AND(F204="次卡",O204=0),AND(F204="期限卡",P204=0)),"已到期",IF(T204&gt;=10,"沉睡客户",IF(T204&gt;=7,"预警客户","正常"))))</f>
        <v/>
      </c>
      <c r="V204" s="11" t="n"/>
      <c r="W204" s="11" t="n"/>
    </row>
    <row r="205">
      <c r="A205" s="44" t="n"/>
      <c r="B205" s="11" t="n"/>
      <c r="C205" s="11" t="n"/>
      <c r="D205" s="11" t="n"/>
      <c r="E205" s="11" t="n"/>
      <c r="F205" s="11" t="n"/>
      <c r="G205" s="55" t="n"/>
      <c r="H205" s="55" t="n"/>
      <c r="I205" s="55" t="n"/>
      <c r="J205" s="11" t="n"/>
      <c r="K205" s="56" t="n"/>
      <c r="L205" s="46">
        <f>K205-J205</f>
        <v/>
      </c>
      <c r="M205" s="47" t="n"/>
      <c r="N205" s="48">
        <f>IF(A205="","",COUNTIFS(上课记录!$B:$B,A205,上课记录!$J:$J,"是"))</f>
        <v/>
      </c>
      <c r="O205" s="31">
        <f>IF(A205="","",IF(F205="次卡",MAX(0,M205-N205),"—"))</f>
        <v/>
      </c>
      <c r="P205" s="31">
        <f>IF(A205="","",IF(F205="期限卡",MAX(0,I205-TODAY()),"—"))</f>
        <v/>
      </c>
      <c r="Q205" s="31">
        <f>IF(A205="","",IF(F205="次卡",IF(OR(K205="",K205=0,M205=0),"",K205/M205),IF(F205="期限卡",IF(AND(K205&lt;&gt;"",K205&lt;&gt;0,I205&gt;H205),K205/(I205-H205),""),"")))</f>
        <v/>
      </c>
      <c r="R205" s="31">
        <f>IF(A205="","",IF(F205="次卡",IF(OR(K205="",K205=0,M205=0),"",Q205*O205),IF(F205="期限卡",IF(AND(K205&lt;&gt;"",K205&lt;&gt;0,I205&gt;H205),Q205*P205,""),"")))</f>
        <v/>
      </c>
      <c r="S205" s="58">
        <f>IF(A205="","",IFERROR(_xlfn.MAXIFS(上课记录!$D:$D,上课记录!$B:$B,A205,上课记录!$J:$J,"是"),""))</f>
        <v/>
      </c>
      <c r="T205" s="31">
        <f>IF(A205="","",IF(S205="","",TODAY()-S205))</f>
        <v/>
      </c>
      <c r="U205" s="31">
        <f>IF(A205="","",IF(OR(AND(F205="次卡",O205=0),AND(F205="期限卡",P205=0)),"已到期",IF(T205&gt;=10,"沉睡客户",IF(T205&gt;=7,"预警客户","正常"))))</f>
        <v/>
      </c>
      <c r="V205" s="11" t="n"/>
      <c r="W205" s="11" t="n"/>
    </row>
    <row r="206">
      <c r="A206" s="44" t="n"/>
      <c r="B206" s="11" t="n"/>
      <c r="C206" s="11" t="n"/>
      <c r="D206" s="11" t="n"/>
      <c r="E206" s="11" t="n"/>
      <c r="F206" s="11" t="n"/>
      <c r="G206" s="55" t="n"/>
      <c r="H206" s="55" t="n"/>
      <c r="I206" s="55" t="n"/>
      <c r="J206" s="11" t="n"/>
      <c r="K206" s="56" t="n"/>
      <c r="L206" s="46">
        <f>K206-J206</f>
        <v/>
      </c>
      <c r="M206" s="47" t="n"/>
      <c r="N206" s="48">
        <f>IF(A206="","",COUNTIFS(上课记录!$B:$B,A206,上课记录!$J:$J,"是"))</f>
        <v/>
      </c>
      <c r="O206" s="31">
        <f>IF(A206="","",IF(F206="次卡",MAX(0,M206-N206),"—"))</f>
        <v/>
      </c>
      <c r="P206" s="31">
        <f>IF(A206="","",IF(F206="期限卡",MAX(0,I206-TODAY()),"—"))</f>
        <v/>
      </c>
      <c r="Q206" s="31">
        <f>IF(A206="","",IF(F206="次卡",IF(OR(K206="",K206=0,M206=0),"",K206/M206),IF(F206="期限卡",IF(AND(K206&lt;&gt;"",K206&lt;&gt;0,I206&gt;H206),K206/(I206-H206),""),"")))</f>
        <v/>
      </c>
      <c r="R206" s="31">
        <f>IF(A206="","",IF(F206="次卡",IF(OR(K206="",K206=0,M206=0),"",Q206*O206),IF(F206="期限卡",IF(AND(K206&lt;&gt;"",K206&lt;&gt;0,I206&gt;H206),Q206*P206,""),"")))</f>
        <v/>
      </c>
      <c r="S206" s="58">
        <f>IF(A206="","",IFERROR(_xlfn.MAXIFS(上课记录!$D:$D,上课记录!$B:$B,A206,上课记录!$J:$J,"是"),""))</f>
        <v/>
      </c>
      <c r="T206" s="31">
        <f>IF(A206="","",IF(S206="","",TODAY()-S206))</f>
        <v/>
      </c>
      <c r="U206" s="31">
        <f>IF(A206="","",IF(OR(AND(F206="次卡",O206=0),AND(F206="期限卡",P206=0)),"已到期",IF(T206&gt;=10,"沉睡客户",IF(T206&gt;=7,"预警客户","正常"))))</f>
        <v/>
      </c>
      <c r="V206" s="11" t="n"/>
      <c r="W206" s="11" t="n"/>
    </row>
    <row r="207">
      <c r="A207" s="44" t="n"/>
      <c r="B207" s="11" t="n"/>
      <c r="C207" s="11" t="n"/>
      <c r="D207" s="11" t="n"/>
      <c r="E207" s="11" t="n"/>
      <c r="F207" s="11" t="n"/>
      <c r="G207" s="55" t="n"/>
      <c r="H207" s="55" t="n"/>
      <c r="I207" s="55" t="n"/>
      <c r="J207" s="11" t="n"/>
      <c r="K207" s="56" t="n"/>
      <c r="L207" s="46">
        <f>K207-J207</f>
        <v/>
      </c>
      <c r="M207" s="47" t="n"/>
      <c r="N207" s="48">
        <f>IF(A207="","",COUNTIFS(上课记录!$B:$B,A207,上课记录!$J:$J,"是"))</f>
        <v/>
      </c>
      <c r="O207" s="31">
        <f>IF(A207="","",IF(F207="次卡",MAX(0,M207-N207),"—"))</f>
        <v/>
      </c>
      <c r="P207" s="31">
        <f>IF(A207="","",IF(F207="期限卡",MAX(0,I207-TODAY()),"—"))</f>
        <v/>
      </c>
      <c r="Q207" s="31">
        <f>IF(A207="","",IF(F207="次卡",IF(OR(K207="",K207=0,M207=0),"",K207/M207),IF(F207="期限卡",IF(AND(K207&lt;&gt;"",K207&lt;&gt;0,I207&gt;H207),K207/(I207-H207),""),"")))</f>
        <v/>
      </c>
      <c r="R207" s="31">
        <f>IF(A207="","",IF(F207="次卡",IF(OR(K207="",K207=0,M207=0),"",Q207*O207),IF(F207="期限卡",IF(AND(K207&lt;&gt;"",K207&lt;&gt;0,I207&gt;H207),Q207*P207,""),"")))</f>
        <v/>
      </c>
      <c r="S207" s="58">
        <f>IF(A207="","",IFERROR(_xlfn.MAXIFS(上课记录!$D:$D,上课记录!$B:$B,A207,上课记录!$J:$J,"是"),""))</f>
        <v/>
      </c>
      <c r="T207" s="31">
        <f>IF(A207="","",IF(S207="","",TODAY()-S207))</f>
        <v/>
      </c>
      <c r="U207" s="31">
        <f>IF(A207="","",IF(OR(AND(F207="次卡",O207=0),AND(F207="期限卡",P207=0)),"已到期",IF(T207&gt;=10,"沉睡客户",IF(T207&gt;=7,"预警客户","正常"))))</f>
        <v/>
      </c>
      <c r="V207" s="11" t="n"/>
      <c r="W207" s="11" t="n"/>
    </row>
    <row r="208">
      <c r="A208" s="44" t="n"/>
      <c r="B208" s="11" t="n"/>
      <c r="C208" s="11" t="n"/>
      <c r="D208" s="11" t="n"/>
      <c r="E208" s="11" t="n"/>
      <c r="F208" s="11" t="n"/>
      <c r="G208" s="55" t="n"/>
      <c r="H208" s="55" t="n"/>
      <c r="I208" s="55" t="n"/>
      <c r="J208" s="11" t="n"/>
      <c r="K208" s="56" t="n"/>
      <c r="L208" s="46">
        <f>K208-J208</f>
        <v/>
      </c>
      <c r="M208" s="47" t="n"/>
      <c r="N208" s="48">
        <f>IF(A208="","",COUNTIFS(上课记录!$B:$B,A208,上课记录!$J:$J,"是"))</f>
        <v/>
      </c>
      <c r="O208" s="31">
        <f>IF(A208="","",IF(F208="次卡",MAX(0,M208-N208),"—"))</f>
        <v/>
      </c>
      <c r="P208" s="31">
        <f>IF(A208="","",IF(F208="期限卡",MAX(0,I208-TODAY()),"—"))</f>
        <v/>
      </c>
      <c r="Q208" s="31">
        <f>IF(A208="","",IF(F208="次卡",IF(OR(K208="",K208=0,M208=0),"",K208/M208),IF(F208="期限卡",IF(AND(K208&lt;&gt;"",K208&lt;&gt;0,I208&gt;H208),K208/(I208-H208),""),"")))</f>
        <v/>
      </c>
      <c r="R208" s="31">
        <f>IF(A208="","",IF(F208="次卡",IF(OR(K208="",K208=0,M208=0),"",Q208*O208),IF(F208="期限卡",IF(AND(K208&lt;&gt;"",K208&lt;&gt;0,I208&gt;H208),Q208*P208,""),"")))</f>
        <v/>
      </c>
      <c r="S208" s="58">
        <f>IF(A208="","",IFERROR(_xlfn.MAXIFS(上课记录!$D:$D,上课记录!$B:$B,A208,上课记录!$J:$J,"是"),""))</f>
        <v/>
      </c>
      <c r="T208" s="31">
        <f>IF(A208="","",IF(S208="","",TODAY()-S208))</f>
        <v/>
      </c>
      <c r="U208" s="31">
        <f>IF(A208="","",IF(OR(AND(F208="次卡",O208=0),AND(F208="期限卡",P208=0)),"已到期",IF(T208&gt;=10,"沉睡客户",IF(T208&gt;=7,"预警客户","正常"))))</f>
        <v/>
      </c>
      <c r="V208" s="11" t="n"/>
      <c r="W208" s="11" t="n"/>
    </row>
    <row r="209">
      <c r="A209" s="44" t="n"/>
      <c r="B209" s="11" t="n"/>
      <c r="C209" s="11" t="n"/>
      <c r="D209" s="11" t="n"/>
      <c r="E209" s="11" t="n"/>
      <c r="F209" s="11" t="n"/>
      <c r="G209" s="55" t="n"/>
      <c r="H209" s="55" t="n"/>
      <c r="I209" s="55" t="n"/>
      <c r="J209" s="11" t="n"/>
      <c r="K209" s="56" t="n"/>
      <c r="L209" s="46">
        <f>K209-J209</f>
        <v/>
      </c>
      <c r="M209" s="47" t="n"/>
      <c r="N209" s="48">
        <f>IF(A209="","",COUNTIFS(上课记录!$B:$B,A209,上课记录!$J:$J,"是"))</f>
        <v/>
      </c>
      <c r="O209" s="31">
        <f>IF(A209="","",IF(F209="次卡",MAX(0,M209-N209),"—"))</f>
        <v/>
      </c>
      <c r="P209" s="31">
        <f>IF(A209="","",IF(F209="期限卡",MAX(0,I209-TODAY()),"—"))</f>
        <v/>
      </c>
      <c r="Q209" s="31">
        <f>IF(A209="","",IF(F209="次卡",IF(OR(K209="",K209=0,M209=0),"",K209/M209),IF(F209="期限卡",IF(AND(K209&lt;&gt;"",K209&lt;&gt;0,I209&gt;H209),K209/(I209-H209),""),"")))</f>
        <v/>
      </c>
      <c r="R209" s="31">
        <f>IF(A209="","",IF(F209="次卡",IF(OR(K209="",K209=0,M209=0),"",Q209*O209),IF(F209="期限卡",IF(AND(K209&lt;&gt;"",K209&lt;&gt;0,I209&gt;H209),Q209*P209,""),"")))</f>
        <v/>
      </c>
      <c r="S209" s="58">
        <f>IF(A209="","",IFERROR(_xlfn.MAXIFS(上课记录!$D:$D,上课记录!$B:$B,A209,上课记录!$J:$J,"是"),""))</f>
        <v/>
      </c>
      <c r="T209" s="31">
        <f>IF(A209="","",IF(S209="","",TODAY()-S209))</f>
        <v/>
      </c>
      <c r="U209" s="31">
        <f>IF(A209="","",IF(OR(AND(F209="次卡",O209=0),AND(F209="期限卡",P209=0)),"已到期",IF(T209&gt;=10,"沉睡客户",IF(T209&gt;=7,"预警客户","正常"))))</f>
        <v/>
      </c>
      <c r="V209" s="11" t="n"/>
      <c r="W209" s="11" t="n"/>
    </row>
    <row r="210">
      <c r="A210" s="44" t="n"/>
      <c r="B210" s="11" t="n"/>
      <c r="C210" s="11" t="n"/>
      <c r="D210" s="11" t="n"/>
      <c r="E210" s="11" t="n"/>
      <c r="F210" s="11" t="n"/>
      <c r="G210" s="55" t="n"/>
      <c r="H210" s="55" t="n"/>
      <c r="I210" s="55" t="n"/>
      <c r="J210" s="11" t="n"/>
      <c r="K210" s="56" t="n"/>
      <c r="L210" s="46">
        <f>K210-J210</f>
        <v/>
      </c>
      <c r="M210" s="47" t="n"/>
      <c r="N210" s="48">
        <f>IF(A210="","",COUNTIFS(上课记录!$B:$B,A210,上课记录!$J:$J,"是"))</f>
        <v/>
      </c>
      <c r="O210" s="31">
        <f>IF(A210="","",IF(F210="次卡",MAX(0,M210-N210),"—"))</f>
        <v/>
      </c>
      <c r="P210" s="31">
        <f>IF(A210="","",IF(F210="期限卡",MAX(0,I210-TODAY()),"—"))</f>
        <v/>
      </c>
      <c r="Q210" s="31">
        <f>IF(A210="","",IF(F210="次卡",IF(OR(K210="",K210=0,M210=0),"",K210/M210),IF(F210="期限卡",IF(AND(K210&lt;&gt;"",K210&lt;&gt;0,I210&gt;H210),K210/(I210-H210),""),"")))</f>
        <v/>
      </c>
      <c r="R210" s="31">
        <f>IF(A210="","",IF(F210="次卡",IF(OR(K210="",K210=0,M210=0),"",Q210*O210),IF(F210="期限卡",IF(AND(K210&lt;&gt;"",K210&lt;&gt;0,I210&gt;H210),Q210*P210,""),"")))</f>
        <v/>
      </c>
      <c r="S210" s="58">
        <f>IF(A210="","",IFERROR(_xlfn.MAXIFS(上课记录!$D:$D,上课记录!$B:$B,A210,上课记录!$J:$J,"是"),""))</f>
        <v/>
      </c>
      <c r="T210" s="31">
        <f>IF(A210="","",IF(S210="","",TODAY()-S210))</f>
        <v/>
      </c>
      <c r="U210" s="31">
        <f>IF(A210="","",IF(OR(AND(F210="次卡",O210=0),AND(F210="期限卡",P210=0)),"已到期",IF(T210&gt;=10,"沉睡客户",IF(T210&gt;=7,"预警客户","正常"))))</f>
        <v/>
      </c>
      <c r="V210" s="11" t="n"/>
      <c r="W210" s="11" t="n"/>
    </row>
    <row r="211">
      <c r="A211" s="44" t="n"/>
      <c r="B211" s="11" t="n"/>
      <c r="C211" s="11" t="n"/>
      <c r="D211" s="11" t="n"/>
      <c r="E211" s="11" t="n"/>
      <c r="F211" s="11" t="n"/>
      <c r="G211" s="55" t="n"/>
      <c r="H211" s="55" t="n"/>
      <c r="I211" s="55" t="n"/>
      <c r="J211" s="11" t="n"/>
      <c r="K211" s="56" t="n"/>
      <c r="L211" s="46">
        <f>K211-J211</f>
        <v/>
      </c>
      <c r="M211" s="47" t="n"/>
      <c r="N211" s="48">
        <f>IF(A211="","",COUNTIFS(上课记录!$B:$B,A211,上课记录!$J:$J,"是"))</f>
        <v/>
      </c>
      <c r="O211" s="31">
        <f>IF(A211="","",IF(F211="次卡",MAX(0,M211-N211),"—"))</f>
        <v/>
      </c>
      <c r="P211" s="31">
        <f>IF(A211="","",IF(F211="期限卡",MAX(0,I211-TODAY()),"—"))</f>
        <v/>
      </c>
      <c r="Q211" s="31">
        <f>IF(A211="","",IF(F211="次卡",IF(OR(K211="",K211=0,M211=0),"",K211/M211),IF(F211="期限卡",IF(AND(K211&lt;&gt;"",K211&lt;&gt;0,I211&gt;H211),K211/(I211-H211),""),"")))</f>
        <v/>
      </c>
      <c r="R211" s="31">
        <f>IF(A211="","",IF(F211="次卡",IF(OR(K211="",K211=0,M211=0),"",Q211*O211),IF(F211="期限卡",IF(AND(K211&lt;&gt;"",K211&lt;&gt;0,I211&gt;H211),Q211*P211,""),"")))</f>
        <v/>
      </c>
      <c r="S211" s="58">
        <f>IF(A211="","",IFERROR(_xlfn.MAXIFS(上课记录!$D:$D,上课记录!$B:$B,A211,上课记录!$J:$J,"是"),""))</f>
        <v/>
      </c>
      <c r="T211" s="31">
        <f>IF(A211="","",IF(S211="","",TODAY()-S211))</f>
        <v/>
      </c>
      <c r="U211" s="31">
        <f>IF(A211="","",IF(OR(AND(F211="次卡",O211=0),AND(F211="期限卡",P211=0)),"已到期",IF(T211&gt;=10,"沉睡客户",IF(T211&gt;=7,"预警客户","正常"))))</f>
        <v/>
      </c>
      <c r="V211" s="11" t="n"/>
      <c r="W211" s="11" t="n"/>
    </row>
    <row r="212">
      <c r="A212" s="44" t="n"/>
      <c r="B212" s="11" t="n"/>
      <c r="C212" s="11" t="n"/>
      <c r="D212" s="11" t="n"/>
      <c r="E212" s="11" t="n"/>
      <c r="F212" s="11" t="n"/>
      <c r="G212" s="55" t="n"/>
      <c r="H212" s="55" t="n"/>
      <c r="I212" s="55" t="n"/>
      <c r="J212" s="11" t="n"/>
      <c r="K212" s="56" t="n"/>
      <c r="L212" s="46">
        <f>K212-J212</f>
        <v/>
      </c>
      <c r="M212" s="47" t="n"/>
      <c r="N212" s="48">
        <f>IF(A212="","",COUNTIFS(上课记录!$B:$B,A212,上课记录!$J:$J,"是"))</f>
        <v/>
      </c>
      <c r="O212" s="31">
        <f>IF(A212="","",IF(F212="次卡",MAX(0,M212-N212),"—"))</f>
        <v/>
      </c>
      <c r="P212" s="31">
        <f>IF(A212="","",IF(F212="期限卡",MAX(0,I212-TODAY()),"—"))</f>
        <v/>
      </c>
      <c r="Q212" s="31">
        <f>IF(A212="","",IF(F212="次卡",IF(OR(K212="",K212=0,M212=0),"",K212/M212),IF(F212="期限卡",IF(AND(K212&lt;&gt;"",K212&lt;&gt;0,I212&gt;H212),K212/(I212-H212),""),"")))</f>
        <v/>
      </c>
      <c r="R212" s="31">
        <f>IF(A212="","",IF(F212="次卡",IF(OR(K212="",K212=0,M212=0),"",Q212*O212),IF(F212="期限卡",IF(AND(K212&lt;&gt;"",K212&lt;&gt;0,I212&gt;H212),Q212*P212,""),"")))</f>
        <v/>
      </c>
      <c r="S212" s="58">
        <f>IF(A212="","",IFERROR(_xlfn.MAXIFS(上课记录!$D:$D,上课记录!$B:$B,A212,上课记录!$J:$J,"是"),""))</f>
        <v/>
      </c>
      <c r="T212" s="31">
        <f>IF(A212="","",IF(S212="","",TODAY()-S212))</f>
        <v/>
      </c>
      <c r="U212" s="31">
        <f>IF(A212="","",IF(OR(AND(F212="次卡",O212=0),AND(F212="期限卡",P212=0)),"已到期",IF(T212&gt;=10,"沉睡客户",IF(T212&gt;=7,"预警客户","正常"))))</f>
        <v/>
      </c>
      <c r="V212" s="11" t="n"/>
      <c r="W212" s="11" t="n"/>
    </row>
    <row r="213">
      <c r="A213" s="44" t="n"/>
      <c r="B213" s="11" t="n"/>
      <c r="C213" s="11" t="n"/>
      <c r="D213" s="11" t="n"/>
      <c r="E213" s="11" t="n"/>
      <c r="F213" s="11" t="n"/>
      <c r="G213" s="55" t="n"/>
      <c r="H213" s="55" t="n"/>
      <c r="I213" s="55" t="n"/>
      <c r="J213" s="11" t="n"/>
      <c r="K213" s="56" t="n"/>
      <c r="L213" s="46">
        <f>K213-J213</f>
        <v/>
      </c>
      <c r="M213" s="47" t="n"/>
      <c r="N213" s="48">
        <f>IF(A213="","",COUNTIFS(上课记录!$B:$B,A213,上课记录!$J:$J,"是"))</f>
        <v/>
      </c>
      <c r="O213" s="31">
        <f>IF(A213="","",IF(F213="次卡",MAX(0,M213-N213),"—"))</f>
        <v/>
      </c>
      <c r="P213" s="31">
        <f>IF(A213="","",IF(F213="期限卡",MAX(0,I213-TODAY()),"—"))</f>
        <v/>
      </c>
      <c r="Q213" s="31">
        <f>IF(A213="","",IF(F213="次卡",IF(OR(K213="",K213=0,M213=0),"",K213/M213),IF(F213="期限卡",IF(AND(K213&lt;&gt;"",K213&lt;&gt;0,I213&gt;H213),K213/(I213-H213),""),"")))</f>
        <v/>
      </c>
      <c r="R213" s="31">
        <f>IF(A213="","",IF(F213="次卡",IF(OR(K213="",K213=0,M213=0),"",Q213*O213),IF(F213="期限卡",IF(AND(K213&lt;&gt;"",K213&lt;&gt;0,I213&gt;H213),Q213*P213,""),"")))</f>
        <v/>
      </c>
      <c r="S213" s="58">
        <f>IF(A213="","",IFERROR(_xlfn.MAXIFS(上课记录!$D:$D,上课记录!$B:$B,A213,上课记录!$J:$J,"是"),""))</f>
        <v/>
      </c>
      <c r="T213" s="31">
        <f>IF(A213="","",IF(S213="","",TODAY()-S213))</f>
        <v/>
      </c>
      <c r="U213" s="31">
        <f>IF(A213="","",IF(OR(AND(F213="次卡",O213=0),AND(F213="期限卡",P213=0)),"已到期",IF(T213&gt;=10,"沉睡客户",IF(T213&gt;=7,"预警客户","正常"))))</f>
        <v/>
      </c>
      <c r="V213" s="11" t="n"/>
      <c r="W213" s="11" t="n"/>
    </row>
    <row r="214">
      <c r="A214" s="44" t="n"/>
      <c r="B214" s="11" t="n"/>
      <c r="C214" s="11" t="n"/>
      <c r="D214" s="11" t="n"/>
      <c r="E214" s="11" t="n"/>
      <c r="F214" s="11" t="n"/>
      <c r="G214" s="55" t="n"/>
      <c r="H214" s="55" t="n"/>
      <c r="I214" s="55" t="n"/>
      <c r="J214" s="11" t="n"/>
      <c r="K214" s="56" t="n"/>
      <c r="L214" s="46">
        <f>K214-J214</f>
        <v/>
      </c>
      <c r="M214" s="47" t="n"/>
      <c r="N214" s="48">
        <f>IF(A214="","",COUNTIFS(上课记录!$B:$B,A214,上课记录!$J:$J,"是"))</f>
        <v/>
      </c>
      <c r="O214" s="31">
        <f>IF(A214="","",IF(F214="次卡",MAX(0,M214-N214),"—"))</f>
        <v/>
      </c>
      <c r="P214" s="31">
        <f>IF(A214="","",IF(F214="期限卡",MAX(0,I214-TODAY()),"—"))</f>
        <v/>
      </c>
      <c r="Q214" s="31">
        <f>IF(A214="","",IF(F214="次卡",IF(OR(K214="",K214=0,M214=0),"",K214/M214),IF(F214="期限卡",IF(AND(K214&lt;&gt;"",K214&lt;&gt;0,I214&gt;H214),K214/(I214-H214),""),"")))</f>
        <v/>
      </c>
      <c r="R214" s="31">
        <f>IF(A214="","",IF(F214="次卡",IF(OR(K214="",K214=0,M214=0),"",Q214*O214),IF(F214="期限卡",IF(AND(K214&lt;&gt;"",K214&lt;&gt;0,I214&gt;H214),Q214*P214,""),"")))</f>
        <v/>
      </c>
      <c r="S214" s="58">
        <f>IF(A214="","",IFERROR(_xlfn.MAXIFS(上课记录!$D:$D,上课记录!$B:$B,A214,上课记录!$J:$J,"是"),""))</f>
        <v/>
      </c>
      <c r="T214" s="31">
        <f>IF(A214="","",IF(S214="","",TODAY()-S214))</f>
        <v/>
      </c>
      <c r="U214" s="31">
        <f>IF(A214="","",IF(OR(AND(F214="次卡",O214=0),AND(F214="期限卡",P214=0)),"已到期",IF(T214&gt;=10,"沉睡客户",IF(T214&gt;=7,"预警客户","正常"))))</f>
        <v/>
      </c>
      <c r="V214" s="11" t="n"/>
      <c r="W214" s="11" t="n"/>
    </row>
    <row r="215">
      <c r="A215" s="44" t="n"/>
      <c r="B215" s="11" t="n"/>
      <c r="C215" s="11" t="n"/>
      <c r="D215" s="11" t="n"/>
      <c r="E215" s="11" t="n"/>
      <c r="F215" s="11" t="n"/>
      <c r="G215" s="55" t="n"/>
      <c r="H215" s="55" t="n"/>
      <c r="I215" s="55" t="n"/>
      <c r="J215" s="11" t="n"/>
      <c r="K215" s="56" t="n"/>
      <c r="L215" s="46">
        <f>K215-J215</f>
        <v/>
      </c>
      <c r="M215" s="47" t="n"/>
      <c r="N215" s="48">
        <f>IF(A215="","",COUNTIFS(上课记录!$B:$B,A215,上课记录!$J:$J,"是"))</f>
        <v/>
      </c>
      <c r="O215" s="31">
        <f>IF(A215="","",IF(F215="次卡",MAX(0,M215-N215),"—"))</f>
        <v/>
      </c>
      <c r="P215" s="31">
        <f>IF(A215="","",IF(F215="期限卡",MAX(0,I215-TODAY()),"—"))</f>
        <v/>
      </c>
      <c r="Q215" s="31">
        <f>IF(A215="","",IF(F215="次卡",IF(OR(K215="",K215=0,M215=0),"",K215/M215),IF(F215="期限卡",IF(AND(K215&lt;&gt;"",K215&lt;&gt;0,I215&gt;H215),K215/(I215-H215),""),"")))</f>
        <v/>
      </c>
      <c r="R215" s="31">
        <f>IF(A215="","",IF(F215="次卡",IF(OR(K215="",K215=0,M215=0),"",Q215*O215),IF(F215="期限卡",IF(AND(K215&lt;&gt;"",K215&lt;&gt;0,I215&gt;H215),Q215*P215,""),"")))</f>
        <v/>
      </c>
      <c r="S215" s="58">
        <f>IF(A215="","",IFERROR(_xlfn.MAXIFS(上课记录!$D:$D,上课记录!$B:$B,A215,上课记录!$J:$J,"是"),""))</f>
        <v/>
      </c>
      <c r="T215" s="31">
        <f>IF(A215="","",IF(S215="","",TODAY()-S215))</f>
        <v/>
      </c>
      <c r="U215" s="31">
        <f>IF(A215="","",IF(OR(AND(F215="次卡",O215=0),AND(F215="期限卡",P215=0)),"已到期",IF(T215&gt;=10,"沉睡客户",IF(T215&gt;=7,"预警客户","正常"))))</f>
        <v/>
      </c>
      <c r="V215" s="11" t="n"/>
      <c r="W215" s="11" t="n"/>
    </row>
    <row r="216">
      <c r="A216" s="44" t="n"/>
      <c r="B216" s="11" t="n"/>
      <c r="C216" s="11" t="n"/>
      <c r="D216" s="11" t="n"/>
      <c r="E216" s="11" t="n"/>
      <c r="F216" s="11" t="n"/>
      <c r="G216" s="55" t="n"/>
      <c r="H216" s="55" t="n"/>
      <c r="I216" s="55" t="n"/>
      <c r="J216" s="11" t="n"/>
      <c r="K216" s="56" t="n"/>
      <c r="L216" s="46">
        <f>K216-J216</f>
        <v/>
      </c>
      <c r="M216" s="47" t="n"/>
      <c r="N216" s="48">
        <f>IF(A216="","",COUNTIFS(上课记录!$B:$B,A216,上课记录!$J:$J,"是"))</f>
        <v/>
      </c>
      <c r="O216" s="31">
        <f>IF(A216="","",IF(F216="次卡",MAX(0,M216-N216),"—"))</f>
        <v/>
      </c>
      <c r="P216" s="31">
        <f>IF(A216="","",IF(F216="期限卡",MAX(0,I216-TODAY()),"—"))</f>
        <v/>
      </c>
      <c r="Q216" s="31">
        <f>IF(A216="","",IF(F216="次卡",IF(OR(K216="",K216=0,M216=0),"",K216/M216),IF(F216="期限卡",IF(AND(K216&lt;&gt;"",K216&lt;&gt;0,I216&gt;H216),K216/(I216-H216),""),"")))</f>
        <v/>
      </c>
      <c r="R216" s="31">
        <f>IF(A216="","",IF(F216="次卡",IF(OR(K216="",K216=0,M216=0),"",Q216*O216),IF(F216="期限卡",IF(AND(K216&lt;&gt;"",K216&lt;&gt;0,I216&gt;H216),Q216*P216,""),"")))</f>
        <v/>
      </c>
      <c r="S216" s="58">
        <f>IF(A216="","",IFERROR(_xlfn.MAXIFS(上课记录!$D:$D,上课记录!$B:$B,A216,上课记录!$J:$J,"是"),""))</f>
        <v/>
      </c>
      <c r="T216" s="31">
        <f>IF(A216="","",IF(S216="","",TODAY()-S216))</f>
        <v/>
      </c>
      <c r="U216" s="31">
        <f>IF(A216="","",IF(OR(AND(F216="次卡",O216=0),AND(F216="期限卡",P216=0)),"已到期",IF(T216&gt;=10,"沉睡客户",IF(T216&gt;=7,"预警客户","正常"))))</f>
        <v/>
      </c>
      <c r="V216" s="11" t="n"/>
      <c r="W216" s="11" t="n"/>
    </row>
    <row r="217">
      <c r="A217" s="44" t="n"/>
      <c r="B217" s="11" t="n"/>
      <c r="C217" s="11" t="n"/>
      <c r="D217" s="11" t="n"/>
      <c r="E217" s="11" t="n"/>
      <c r="F217" s="11" t="n"/>
      <c r="G217" s="55" t="n"/>
      <c r="H217" s="55" t="n"/>
      <c r="I217" s="55" t="n"/>
      <c r="J217" s="11" t="n"/>
      <c r="K217" s="56" t="n"/>
      <c r="L217" s="46">
        <f>K217-J217</f>
        <v/>
      </c>
      <c r="M217" s="47" t="n"/>
      <c r="N217" s="48">
        <f>IF(A217="","",COUNTIFS(上课记录!$B:$B,A217,上课记录!$J:$J,"是"))</f>
        <v/>
      </c>
      <c r="O217" s="31">
        <f>IF(A217="","",IF(F217="次卡",MAX(0,M217-N217),"—"))</f>
        <v/>
      </c>
      <c r="P217" s="31">
        <f>IF(A217="","",IF(F217="期限卡",MAX(0,I217-TODAY()),"—"))</f>
        <v/>
      </c>
      <c r="Q217" s="31">
        <f>IF(A217="","",IF(F217="次卡",IF(OR(K217="",K217=0,M217=0),"",K217/M217),IF(F217="期限卡",IF(AND(K217&lt;&gt;"",K217&lt;&gt;0,I217&gt;H217),K217/(I217-H217),""),"")))</f>
        <v/>
      </c>
      <c r="R217" s="31">
        <f>IF(A217="","",IF(F217="次卡",IF(OR(K217="",K217=0,M217=0),"",Q217*O217),IF(F217="期限卡",IF(AND(K217&lt;&gt;"",K217&lt;&gt;0,I217&gt;H217),Q217*P217,""),"")))</f>
        <v/>
      </c>
      <c r="S217" s="58">
        <f>IF(A217="","",IFERROR(_xlfn.MAXIFS(上课记录!$D:$D,上课记录!$B:$B,A217,上课记录!$J:$J,"是"),""))</f>
        <v/>
      </c>
      <c r="T217" s="31">
        <f>IF(A217="","",IF(S217="","",TODAY()-S217))</f>
        <v/>
      </c>
      <c r="U217" s="31">
        <f>IF(A217="","",IF(OR(AND(F217="次卡",O217=0),AND(F217="期限卡",P217=0)),"已到期",IF(T217&gt;=10,"沉睡客户",IF(T217&gt;=7,"预警客户","正常"))))</f>
        <v/>
      </c>
      <c r="V217" s="11" t="n"/>
      <c r="W217" s="11" t="n"/>
    </row>
    <row r="218">
      <c r="A218" s="44" t="n"/>
      <c r="B218" s="11" t="n"/>
      <c r="C218" s="11" t="n"/>
      <c r="D218" s="11" t="n"/>
      <c r="E218" s="11" t="n"/>
      <c r="F218" s="11" t="n"/>
      <c r="G218" s="55" t="n"/>
      <c r="H218" s="55" t="n"/>
      <c r="I218" s="55" t="n"/>
      <c r="J218" s="11" t="n"/>
      <c r="K218" s="56" t="n"/>
      <c r="L218" s="46">
        <f>K218-J218</f>
        <v/>
      </c>
      <c r="M218" s="47" t="n"/>
      <c r="N218" s="48">
        <f>IF(A218="","",COUNTIFS(上课记录!$B:$B,A218,上课记录!$J:$J,"是"))</f>
        <v/>
      </c>
      <c r="O218" s="31">
        <f>IF(A218="","",IF(F218="次卡",MAX(0,M218-N218),"—"))</f>
        <v/>
      </c>
      <c r="P218" s="31">
        <f>IF(A218="","",IF(F218="期限卡",MAX(0,I218-TODAY()),"—"))</f>
        <v/>
      </c>
      <c r="Q218" s="31">
        <f>IF(A218="","",IF(F218="次卡",IF(OR(K218="",K218=0,M218=0),"",K218/M218),IF(F218="期限卡",IF(AND(K218&lt;&gt;"",K218&lt;&gt;0,I218&gt;H218),K218/(I218-H218),""),"")))</f>
        <v/>
      </c>
      <c r="R218" s="31">
        <f>IF(A218="","",IF(F218="次卡",IF(OR(K218="",K218=0,M218=0),"",Q218*O218),IF(F218="期限卡",IF(AND(K218&lt;&gt;"",K218&lt;&gt;0,I218&gt;H218),Q218*P218,""),"")))</f>
        <v/>
      </c>
      <c r="S218" s="58">
        <f>IF(A218="","",IFERROR(_xlfn.MAXIFS(上课记录!$D:$D,上课记录!$B:$B,A218,上课记录!$J:$J,"是"),""))</f>
        <v/>
      </c>
      <c r="T218" s="31">
        <f>IF(A218="","",IF(S218="","",TODAY()-S218))</f>
        <v/>
      </c>
      <c r="U218" s="31">
        <f>IF(A218="","",IF(OR(AND(F218="次卡",O218=0),AND(F218="期限卡",P218=0)),"已到期",IF(T218&gt;=10,"沉睡客户",IF(T218&gt;=7,"预警客户","正常"))))</f>
        <v/>
      </c>
      <c r="V218" s="11" t="n"/>
      <c r="W218" s="11" t="n"/>
    </row>
    <row r="219">
      <c r="A219" s="44" t="n"/>
      <c r="B219" s="11" t="n"/>
      <c r="C219" s="11" t="n"/>
      <c r="D219" s="11" t="n"/>
      <c r="E219" s="11" t="n"/>
      <c r="F219" s="11" t="n"/>
      <c r="G219" s="55" t="n"/>
      <c r="H219" s="55" t="n"/>
      <c r="I219" s="55" t="n"/>
      <c r="J219" s="11" t="n"/>
      <c r="K219" s="56" t="n"/>
      <c r="L219" s="46">
        <f>K219-J219</f>
        <v/>
      </c>
      <c r="M219" s="47" t="n"/>
      <c r="N219" s="48">
        <f>IF(A219="","",COUNTIFS(上课记录!$B:$B,A219,上课记录!$J:$J,"是"))</f>
        <v/>
      </c>
      <c r="O219" s="31">
        <f>IF(A219="","",IF(F219="次卡",MAX(0,M219-N219),"—"))</f>
        <v/>
      </c>
      <c r="P219" s="31">
        <f>IF(A219="","",IF(F219="期限卡",MAX(0,I219-TODAY()),"—"))</f>
        <v/>
      </c>
      <c r="Q219" s="31">
        <f>IF(A219="","",IF(F219="次卡",IF(OR(K219="",K219=0,M219=0),"",K219/M219),IF(F219="期限卡",IF(AND(K219&lt;&gt;"",K219&lt;&gt;0,I219&gt;H219),K219/(I219-H219),""),"")))</f>
        <v/>
      </c>
      <c r="R219" s="31">
        <f>IF(A219="","",IF(F219="次卡",IF(OR(K219="",K219=0,M219=0),"",Q219*O219),IF(F219="期限卡",IF(AND(K219&lt;&gt;"",K219&lt;&gt;0,I219&gt;H219),Q219*P219,""),"")))</f>
        <v/>
      </c>
      <c r="S219" s="58">
        <f>IF(A219="","",IFERROR(_xlfn.MAXIFS(上课记录!$D:$D,上课记录!$B:$B,A219,上课记录!$J:$J,"是"),""))</f>
        <v/>
      </c>
      <c r="T219" s="31">
        <f>IF(A219="","",IF(S219="","",TODAY()-S219))</f>
        <v/>
      </c>
      <c r="U219" s="31">
        <f>IF(A219="","",IF(OR(AND(F219="次卡",O219=0),AND(F219="期限卡",P219=0)),"已到期",IF(T219&gt;=10,"沉睡客户",IF(T219&gt;=7,"预警客户","正常"))))</f>
        <v/>
      </c>
      <c r="V219" s="11" t="n"/>
      <c r="W219" s="11" t="n"/>
    </row>
    <row r="220">
      <c r="A220" s="44" t="n"/>
      <c r="B220" s="11" t="n"/>
      <c r="C220" s="11" t="n"/>
      <c r="D220" s="11" t="n"/>
      <c r="E220" s="11" t="n"/>
      <c r="F220" s="11" t="n"/>
      <c r="G220" s="55" t="n"/>
      <c r="H220" s="55" t="n"/>
      <c r="I220" s="55" t="n"/>
      <c r="J220" s="11" t="n"/>
      <c r="K220" s="56" t="n"/>
      <c r="L220" s="46">
        <f>K220-J220</f>
        <v/>
      </c>
      <c r="M220" s="47" t="n"/>
      <c r="N220" s="48">
        <f>IF(A220="","",COUNTIFS(上课记录!$B:$B,A220,上课记录!$J:$J,"是"))</f>
        <v/>
      </c>
      <c r="O220" s="31">
        <f>IF(A220="","",IF(F220="次卡",MAX(0,M220-N220),"—"))</f>
        <v/>
      </c>
      <c r="P220" s="31">
        <f>IF(A220="","",IF(F220="期限卡",MAX(0,I220-TODAY()),"—"))</f>
        <v/>
      </c>
      <c r="Q220" s="31">
        <f>IF(A220="","",IF(F220="次卡",IF(OR(K220="",K220=0,M220=0),"",K220/M220),IF(F220="期限卡",IF(AND(K220&lt;&gt;"",K220&lt;&gt;0,I220&gt;H220),K220/(I220-H220),""),"")))</f>
        <v/>
      </c>
      <c r="R220" s="31">
        <f>IF(A220="","",IF(F220="次卡",IF(OR(K220="",K220=0,M220=0),"",Q220*O220),IF(F220="期限卡",IF(AND(K220&lt;&gt;"",K220&lt;&gt;0,I220&gt;H220),Q220*P220,""),"")))</f>
        <v/>
      </c>
      <c r="S220" s="58">
        <f>IF(A220="","",IFERROR(_xlfn.MAXIFS(上课记录!$D:$D,上课记录!$B:$B,A220,上课记录!$J:$J,"是"),""))</f>
        <v/>
      </c>
      <c r="T220" s="31">
        <f>IF(A220="","",IF(S220="","",TODAY()-S220))</f>
        <v/>
      </c>
      <c r="U220" s="31">
        <f>IF(A220="","",IF(OR(AND(F220="次卡",O220=0),AND(F220="期限卡",P220=0)),"已到期",IF(T220&gt;=10,"沉睡客户",IF(T220&gt;=7,"预警客户","正常"))))</f>
        <v/>
      </c>
      <c r="V220" s="11" t="n"/>
      <c r="W220" s="11" t="n"/>
    </row>
    <row r="221">
      <c r="A221" s="44" t="n"/>
      <c r="B221" s="11" t="n"/>
      <c r="C221" s="11" t="n"/>
      <c r="D221" s="11" t="n"/>
      <c r="E221" s="11" t="n"/>
      <c r="F221" s="11" t="n"/>
      <c r="G221" s="55" t="n"/>
      <c r="H221" s="55" t="n"/>
      <c r="I221" s="55" t="n"/>
      <c r="J221" s="11" t="n"/>
      <c r="K221" s="56" t="n"/>
      <c r="L221" s="46">
        <f>K221-J221</f>
        <v/>
      </c>
      <c r="M221" s="47" t="n"/>
      <c r="N221" s="48">
        <f>IF(A221="","",COUNTIFS(上课记录!$B:$B,A221,上课记录!$J:$J,"是"))</f>
        <v/>
      </c>
      <c r="O221" s="31">
        <f>IF(A221="","",IF(F221="次卡",MAX(0,M221-N221),"—"))</f>
        <v/>
      </c>
      <c r="P221" s="31">
        <f>IF(A221="","",IF(F221="期限卡",MAX(0,I221-TODAY()),"—"))</f>
        <v/>
      </c>
      <c r="Q221" s="31">
        <f>IF(A221="","",IF(F221="次卡",IF(OR(K221="",K221=0,M221=0),"",K221/M221),IF(F221="期限卡",IF(AND(K221&lt;&gt;"",K221&lt;&gt;0,I221&gt;H221),K221/(I221-H221),""),"")))</f>
        <v/>
      </c>
      <c r="R221" s="31">
        <f>IF(A221="","",IF(F221="次卡",IF(OR(K221="",K221=0,M221=0),"",Q221*O221),IF(F221="期限卡",IF(AND(K221&lt;&gt;"",K221&lt;&gt;0,I221&gt;H221),Q221*P221,""),"")))</f>
        <v/>
      </c>
      <c r="S221" s="58">
        <f>IF(A221="","",IFERROR(_xlfn.MAXIFS(上课记录!$D:$D,上课记录!$B:$B,A221,上课记录!$J:$J,"是"),""))</f>
        <v/>
      </c>
      <c r="T221" s="31">
        <f>IF(A221="","",IF(S221="","",TODAY()-S221))</f>
        <v/>
      </c>
      <c r="U221" s="31">
        <f>IF(A221="","",IF(OR(AND(F221="次卡",O221=0),AND(F221="期限卡",P221=0)),"已到期",IF(T221&gt;=10,"沉睡客户",IF(T221&gt;=7,"预警客户","正常"))))</f>
        <v/>
      </c>
      <c r="V221" s="11" t="n"/>
      <c r="W221" s="11" t="n"/>
    </row>
    <row r="222">
      <c r="A222" s="44" t="n"/>
      <c r="B222" s="11" t="n"/>
      <c r="C222" s="11" t="n"/>
      <c r="D222" s="11" t="n"/>
      <c r="E222" s="11" t="n"/>
      <c r="F222" s="11" t="n"/>
      <c r="G222" s="55" t="n"/>
      <c r="H222" s="55" t="n"/>
      <c r="I222" s="55" t="n"/>
      <c r="J222" s="11" t="n"/>
      <c r="K222" s="56" t="n"/>
      <c r="L222" s="46">
        <f>K222-J222</f>
        <v/>
      </c>
      <c r="M222" s="47" t="n"/>
      <c r="N222" s="48">
        <f>IF(A222="","",COUNTIFS(上课记录!$B:$B,A222,上课记录!$J:$J,"是"))</f>
        <v/>
      </c>
      <c r="O222" s="31">
        <f>IF(A222="","",IF(F222="次卡",MAX(0,M222-N222),"—"))</f>
        <v/>
      </c>
      <c r="P222" s="31">
        <f>IF(A222="","",IF(F222="期限卡",MAX(0,I222-TODAY()),"—"))</f>
        <v/>
      </c>
      <c r="Q222" s="31">
        <f>IF(A222="","",IF(F222="次卡",IF(OR(K222="",K222=0,M222=0),"",K222/M222),IF(F222="期限卡",IF(AND(K222&lt;&gt;"",K222&lt;&gt;0,I222&gt;H222),K222/(I222-H222),""),"")))</f>
        <v/>
      </c>
      <c r="R222" s="31">
        <f>IF(A222="","",IF(F222="次卡",IF(OR(K222="",K222=0,M222=0),"",Q222*O222),IF(F222="期限卡",IF(AND(K222&lt;&gt;"",K222&lt;&gt;0,I222&gt;H222),Q222*P222,""),"")))</f>
        <v/>
      </c>
      <c r="S222" s="58">
        <f>IF(A222="","",IFERROR(_xlfn.MAXIFS(上课记录!$D:$D,上课记录!$B:$B,A222,上课记录!$J:$J,"是"),""))</f>
        <v/>
      </c>
      <c r="T222" s="31">
        <f>IF(A222="","",IF(S222="","",TODAY()-S222))</f>
        <v/>
      </c>
      <c r="U222" s="31">
        <f>IF(A222="","",IF(OR(AND(F222="次卡",O222=0),AND(F222="期限卡",P222=0)),"已到期",IF(T222&gt;=10,"沉睡客户",IF(T222&gt;=7,"预警客户","正常"))))</f>
        <v/>
      </c>
      <c r="V222" s="11" t="n"/>
      <c r="W222" s="11" t="n"/>
    </row>
    <row r="223">
      <c r="A223" s="44" t="n"/>
      <c r="B223" s="11" t="n"/>
      <c r="C223" s="11" t="n"/>
      <c r="D223" s="11" t="n"/>
      <c r="E223" s="11" t="n"/>
      <c r="F223" s="11" t="n"/>
      <c r="G223" s="55" t="n"/>
      <c r="H223" s="55" t="n"/>
      <c r="I223" s="55" t="n"/>
      <c r="J223" s="11" t="n"/>
      <c r="K223" s="56" t="n"/>
      <c r="L223" s="46">
        <f>K223-J223</f>
        <v/>
      </c>
      <c r="M223" s="47" t="n"/>
      <c r="N223" s="48">
        <f>IF(A223="","",COUNTIFS(上课记录!$B:$B,A223,上课记录!$J:$J,"是"))</f>
        <v/>
      </c>
      <c r="O223" s="31">
        <f>IF(A223="","",IF(F223="次卡",MAX(0,M223-N223),"—"))</f>
        <v/>
      </c>
      <c r="P223" s="31">
        <f>IF(A223="","",IF(F223="期限卡",MAX(0,I223-TODAY()),"—"))</f>
        <v/>
      </c>
      <c r="Q223" s="31">
        <f>IF(A223="","",IF(F223="次卡",IF(OR(K223="",K223=0,M223=0),"",K223/M223),IF(F223="期限卡",IF(AND(K223&lt;&gt;"",K223&lt;&gt;0,I223&gt;H223),K223/(I223-H223),""),"")))</f>
        <v/>
      </c>
      <c r="R223" s="31">
        <f>IF(A223="","",IF(F223="次卡",IF(OR(K223="",K223=0,M223=0),"",Q223*O223),IF(F223="期限卡",IF(AND(K223&lt;&gt;"",K223&lt;&gt;0,I223&gt;H223),Q223*P223,""),"")))</f>
        <v/>
      </c>
      <c r="S223" s="58">
        <f>IF(A223="","",IFERROR(_xlfn.MAXIFS(上课记录!$D:$D,上课记录!$B:$B,A223,上课记录!$J:$J,"是"),""))</f>
        <v/>
      </c>
      <c r="T223" s="31">
        <f>IF(A223="","",IF(S223="","",TODAY()-S223))</f>
        <v/>
      </c>
      <c r="U223" s="31">
        <f>IF(A223="","",IF(OR(AND(F223="次卡",O223=0),AND(F223="期限卡",P223=0)),"已到期",IF(T223&gt;=10,"沉睡客户",IF(T223&gt;=7,"预警客户","正常"))))</f>
        <v/>
      </c>
      <c r="V223" s="11" t="n"/>
      <c r="W223" s="11" t="n"/>
    </row>
    <row r="224">
      <c r="A224" s="44" t="n"/>
      <c r="B224" s="11" t="n"/>
      <c r="C224" s="11" t="n"/>
      <c r="D224" s="11" t="n"/>
      <c r="E224" s="11" t="n"/>
      <c r="F224" s="11" t="n"/>
      <c r="G224" s="55" t="n"/>
      <c r="H224" s="55" t="n"/>
      <c r="I224" s="55" t="n"/>
      <c r="J224" s="11" t="n"/>
      <c r="K224" s="56" t="n"/>
      <c r="L224" s="46">
        <f>K224-J224</f>
        <v/>
      </c>
      <c r="M224" s="47" t="n"/>
      <c r="N224" s="48">
        <f>IF(A224="","",COUNTIFS(上课记录!$B:$B,A224,上课记录!$J:$J,"是"))</f>
        <v/>
      </c>
      <c r="O224" s="31">
        <f>IF(A224="","",IF(F224="次卡",MAX(0,M224-N224),"—"))</f>
        <v/>
      </c>
      <c r="P224" s="31">
        <f>IF(A224="","",IF(F224="期限卡",MAX(0,I224-TODAY()),"—"))</f>
        <v/>
      </c>
      <c r="Q224" s="31">
        <f>IF(A224="","",IF(F224="次卡",IF(OR(K224="",K224=0,M224=0),"",K224/M224),IF(F224="期限卡",IF(AND(K224&lt;&gt;"",K224&lt;&gt;0,I224&gt;H224),K224/(I224-H224),""),"")))</f>
        <v/>
      </c>
      <c r="R224" s="31">
        <f>IF(A224="","",IF(F224="次卡",IF(OR(K224="",K224=0,M224=0),"",Q224*O224),IF(F224="期限卡",IF(AND(K224&lt;&gt;"",K224&lt;&gt;0,I224&gt;H224),Q224*P224,""),"")))</f>
        <v/>
      </c>
      <c r="S224" s="58">
        <f>IF(A224="","",IFERROR(_xlfn.MAXIFS(上课记录!$D:$D,上课记录!$B:$B,A224,上课记录!$J:$J,"是"),""))</f>
        <v/>
      </c>
      <c r="T224" s="31">
        <f>IF(A224="","",IF(S224="","",TODAY()-S224))</f>
        <v/>
      </c>
      <c r="U224" s="31">
        <f>IF(A224="","",IF(OR(AND(F224="次卡",O224=0),AND(F224="期限卡",P224=0)),"已到期",IF(T224&gt;=10,"沉睡客户",IF(T224&gt;=7,"预警客户","正常"))))</f>
        <v/>
      </c>
      <c r="V224" s="11" t="n"/>
      <c r="W224" s="11" t="n"/>
    </row>
    <row r="225">
      <c r="A225" s="44" t="n"/>
      <c r="B225" s="11" t="n"/>
      <c r="C225" s="11" t="n"/>
      <c r="D225" s="11" t="n"/>
      <c r="E225" s="11" t="n"/>
      <c r="F225" s="11" t="n"/>
      <c r="G225" s="55" t="n"/>
      <c r="H225" s="55" t="n"/>
      <c r="I225" s="55" t="n"/>
      <c r="J225" s="11" t="n"/>
      <c r="K225" s="56" t="n"/>
      <c r="L225" s="46">
        <f>K225-J225</f>
        <v/>
      </c>
      <c r="M225" s="47" t="n"/>
      <c r="N225" s="48">
        <f>IF(A225="","",COUNTIFS(上课记录!$B:$B,A225,上课记录!$J:$J,"是"))</f>
        <v/>
      </c>
      <c r="O225" s="31">
        <f>IF(A225="","",IF(F225="次卡",MAX(0,M225-N225),"—"))</f>
        <v/>
      </c>
      <c r="P225" s="31">
        <f>IF(A225="","",IF(F225="期限卡",MAX(0,I225-TODAY()),"—"))</f>
        <v/>
      </c>
      <c r="Q225" s="31">
        <f>IF(A225="","",IF(F225="次卡",IF(OR(K225="",K225=0,M225=0),"",K225/M225),IF(F225="期限卡",IF(AND(K225&lt;&gt;"",K225&lt;&gt;0,I225&gt;H225),K225/(I225-H225),""),"")))</f>
        <v/>
      </c>
      <c r="R225" s="31">
        <f>IF(A225="","",IF(F225="次卡",IF(OR(K225="",K225=0,M225=0),"",Q225*O225),IF(F225="期限卡",IF(AND(K225&lt;&gt;"",K225&lt;&gt;0,I225&gt;H225),Q225*P225,""),"")))</f>
        <v/>
      </c>
      <c r="S225" s="58">
        <f>IF(A225="","",IFERROR(_xlfn.MAXIFS(上课记录!$D:$D,上课记录!$B:$B,A225,上课记录!$J:$J,"是"),""))</f>
        <v/>
      </c>
      <c r="T225" s="31">
        <f>IF(A225="","",IF(S225="","",TODAY()-S225))</f>
        <v/>
      </c>
      <c r="U225" s="31">
        <f>IF(A225="","",IF(OR(AND(F225="次卡",O225=0),AND(F225="期限卡",P225=0)),"已到期",IF(T225&gt;=10,"沉睡客户",IF(T225&gt;=7,"预警客户","正常"))))</f>
        <v/>
      </c>
      <c r="V225" s="11" t="n"/>
      <c r="W225" s="11" t="n"/>
    </row>
    <row r="226">
      <c r="A226" s="44" t="n"/>
      <c r="B226" s="11" t="n"/>
      <c r="C226" s="11" t="n"/>
      <c r="D226" s="11" t="n"/>
      <c r="E226" s="11" t="n"/>
      <c r="F226" s="11" t="n"/>
      <c r="G226" s="55" t="n"/>
      <c r="H226" s="55" t="n"/>
      <c r="I226" s="55" t="n"/>
      <c r="J226" s="11" t="n"/>
      <c r="K226" s="56" t="n"/>
      <c r="L226" s="46">
        <f>K226-J226</f>
        <v/>
      </c>
      <c r="M226" s="47" t="n"/>
      <c r="N226" s="48">
        <f>IF(A226="","",COUNTIFS(上课记录!$B:$B,A226,上课记录!$J:$J,"是"))</f>
        <v/>
      </c>
      <c r="O226" s="31">
        <f>IF(A226="","",IF(F226="次卡",MAX(0,M226-N226),"—"))</f>
        <v/>
      </c>
      <c r="P226" s="31">
        <f>IF(A226="","",IF(F226="期限卡",MAX(0,I226-TODAY()),"—"))</f>
        <v/>
      </c>
      <c r="Q226" s="31">
        <f>IF(A226="","",IF(F226="次卡",IF(OR(K226="",K226=0,M226=0),"",K226/M226),IF(F226="期限卡",IF(AND(K226&lt;&gt;"",K226&lt;&gt;0,I226&gt;H226),K226/(I226-H226),""),"")))</f>
        <v/>
      </c>
      <c r="R226" s="31">
        <f>IF(A226="","",IF(F226="次卡",IF(OR(K226="",K226=0,M226=0),"",Q226*O226),IF(F226="期限卡",IF(AND(K226&lt;&gt;"",K226&lt;&gt;0,I226&gt;H226),Q226*P226,""),"")))</f>
        <v/>
      </c>
      <c r="S226" s="58">
        <f>IF(A226="","",IFERROR(_xlfn.MAXIFS(上课记录!$D:$D,上课记录!$B:$B,A226,上课记录!$J:$J,"是"),""))</f>
        <v/>
      </c>
      <c r="T226" s="31">
        <f>IF(A226="","",IF(S226="","",TODAY()-S226))</f>
        <v/>
      </c>
      <c r="U226" s="31">
        <f>IF(A226="","",IF(OR(AND(F226="次卡",O226=0),AND(F226="期限卡",P226=0)),"已到期",IF(T226&gt;=10,"沉睡客户",IF(T226&gt;=7,"预警客户","正常"))))</f>
        <v/>
      </c>
      <c r="V226" s="11" t="n"/>
      <c r="W226" s="11" t="n"/>
    </row>
    <row r="227">
      <c r="A227" s="44" t="n"/>
      <c r="B227" s="11" t="n"/>
      <c r="C227" s="11" t="n"/>
      <c r="D227" s="11" t="n"/>
      <c r="E227" s="11" t="n"/>
      <c r="F227" s="11" t="n"/>
      <c r="G227" s="55" t="n"/>
      <c r="H227" s="55" t="n"/>
      <c r="I227" s="55" t="n"/>
      <c r="J227" s="11" t="n"/>
      <c r="K227" s="56" t="n"/>
      <c r="L227" s="46">
        <f>K227-J227</f>
        <v/>
      </c>
      <c r="M227" s="47" t="n"/>
      <c r="N227" s="48">
        <f>IF(A227="","",COUNTIFS(上课记录!$B:$B,A227,上课记录!$J:$J,"是"))</f>
        <v/>
      </c>
      <c r="O227" s="31">
        <f>IF(A227="","",IF(F227="次卡",MAX(0,M227-N227),"—"))</f>
        <v/>
      </c>
      <c r="P227" s="31">
        <f>IF(A227="","",IF(F227="期限卡",MAX(0,I227-TODAY()),"—"))</f>
        <v/>
      </c>
      <c r="Q227" s="31">
        <f>IF(A227="","",IF(F227="次卡",IF(OR(K227="",K227=0,M227=0),"",K227/M227),IF(F227="期限卡",IF(AND(K227&lt;&gt;"",K227&lt;&gt;0,I227&gt;H227),K227/(I227-H227),""),"")))</f>
        <v/>
      </c>
      <c r="R227" s="31">
        <f>IF(A227="","",IF(F227="次卡",IF(OR(K227="",K227=0,M227=0),"",Q227*O227),IF(F227="期限卡",IF(AND(K227&lt;&gt;"",K227&lt;&gt;0,I227&gt;H227),Q227*P227,""),"")))</f>
        <v/>
      </c>
      <c r="S227" s="58">
        <f>IF(A227="","",IFERROR(_xlfn.MAXIFS(上课记录!$D:$D,上课记录!$B:$B,A227,上课记录!$J:$J,"是"),""))</f>
        <v/>
      </c>
      <c r="T227" s="31">
        <f>IF(A227="","",IF(S227="","",TODAY()-S227))</f>
        <v/>
      </c>
      <c r="U227" s="31">
        <f>IF(A227="","",IF(OR(AND(F227="次卡",O227=0),AND(F227="期限卡",P227=0)),"已到期",IF(T227&gt;=10,"沉睡客户",IF(T227&gt;=7,"预警客户","正常"))))</f>
        <v/>
      </c>
      <c r="V227" s="11" t="n"/>
      <c r="W227" s="11" t="n"/>
    </row>
    <row r="228">
      <c r="A228" s="44" t="n"/>
      <c r="B228" s="11" t="n"/>
      <c r="C228" s="11" t="n"/>
      <c r="D228" s="11" t="n"/>
      <c r="E228" s="11" t="n"/>
      <c r="F228" s="11" t="n"/>
      <c r="G228" s="55" t="n"/>
      <c r="H228" s="55" t="n"/>
      <c r="I228" s="55" t="n"/>
      <c r="J228" s="11" t="n"/>
      <c r="K228" s="56" t="n"/>
      <c r="L228" s="46">
        <f>K228-J228</f>
        <v/>
      </c>
      <c r="M228" s="47" t="n"/>
      <c r="N228" s="48">
        <f>IF(A228="","",COUNTIFS(上课记录!$B:$B,A228,上课记录!$J:$J,"是"))</f>
        <v/>
      </c>
      <c r="O228" s="31">
        <f>IF(A228="","",IF(F228="次卡",MAX(0,M228-N228),"—"))</f>
        <v/>
      </c>
      <c r="P228" s="31">
        <f>IF(A228="","",IF(F228="期限卡",MAX(0,I228-TODAY()),"—"))</f>
        <v/>
      </c>
      <c r="Q228" s="31">
        <f>IF(A228="","",IF(F228="次卡",IF(OR(K228="",K228=0,M228=0),"",K228/M228),IF(F228="期限卡",IF(AND(K228&lt;&gt;"",K228&lt;&gt;0,I228&gt;H228),K228/(I228-H228),""),"")))</f>
        <v/>
      </c>
      <c r="R228" s="31">
        <f>IF(A228="","",IF(F228="次卡",IF(OR(K228="",K228=0,M228=0),"",Q228*O228),IF(F228="期限卡",IF(AND(K228&lt;&gt;"",K228&lt;&gt;0,I228&gt;H228),Q228*P228,""),"")))</f>
        <v/>
      </c>
      <c r="S228" s="58">
        <f>IF(A228="","",IFERROR(_xlfn.MAXIFS(上课记录!$D:$D,上课记录!$B:$B,A228,上课记录!$J:$J,"是"),""))</f>
        <v/>
      </c>
      <c r="T228" s="31">
        <f>IF(A228="","",IF(S228="","",TODAY()-S228))</f>
        <v/>
      </c>
      <c r="U228" s="31">
        <f>IF(A228="","",IF(OR(AND(F228="次卡",O228=0),AND(F228="期限卡",P228=0)),"已到期",IF(T228&gt;=10,"沉睡客户",IF(T228&gt;=7,"预警客户","正常"))))</f>
        <v/>
      </c>
      <c r="V228" s="11" t="n"/>
      <c r="W228" s="11" t="n"/>
    </row>
    <row r="229">
      <c r="A229" s="44" t="n"/>
      <c r="B229" s="11" t="n"/>
      <c r="C229" s="11" t="n"/>
      <c r="D229" s="11" t="n"/>
      <c r="E229" s="11" t="n"/>
      <c r="F229" s="11" t="n"/>
      <c r="G229" s="55" t="n"/>
      <c r="H229" s="55" t="n"/>
      <c r="I229" s="55" t="n"/>
      <c r="J229" s="11" t="n"/>
      <c r="K229" s="56" t="n"/>
      <c r="L229" s="46">
        <f>K229-J229</f>
        <v/>
      </c>
      <c r="M229" s="47" t="n"/>
      <c r="N229" s="48">
        <f>IF(A229="","",COUNTIFS(上课记录!$B:$B,A229,上课记录!$J:$J,"是"))</f>
        <v/>
      </c>
      <c r="O229" s="31">
        <f>IF(A229="","",IF(F229="次卡",MAX(0,M229-N229),"—"))</f>
        <v/>
      </c>
      <c r="P229" s="31">
        <f>IF(A229="","",IF(F229="期限卡",MAX(0,I229-TODAY()),"—"))</f>
        <v/>
      </c>
      <c r="Q229" s="31">
        <f>IF(A229="","",IF(F229="次卡",IF(OR(K229="",K229=0,M229=0),"",K229/M229),IF(F229="期限卡",IF(AND(K229&lt;&gt;"",K229&lt;&gt;0,I229&gt;H229),K229/(I229-H229),""),"")))</f>
        <v/>
      </c>
      <c r="R229" s="31">
        <f>IF(A229="","",IF(F229="次卡",IF(OR(K229="",K229=0,M229=0),"",Q229*O229),IF(F229="期限卡",IF(AND(K229&lt;&gt;"",K229&lt;&gt;0,I229&gt;H229),Q229*P229,""),"")))</f>
        <v/>
      </c>
      <c r="S229" s="58">
        <f>IF(A229="","",IFERROR(_xlfn.MAXIFS(上课记录!$D:$D,上课记录!$B:$B,A229,上课记录!$J:$J,"是"),""))</f>
        <v/>
      </c>
      <c r="T229" s="31">
        <f>IF(A229="","",IF(S229="","",TODAY()-S229))</f>
        <v/>
      </c>
      <c r="U229" s="31">
        <f>IF(A229="","",IF(OR(AND(F229="次卡",O229=0),AND(F229="期限卡",P229=0)),"已到期",IF(T229&gt;=10,"沉睡客户",IF(T229&gt;=7,"预警客户","正常"))))</f>
        <v/>
      </c>
      <c r="V229" s="11" t="n"/>
      <c r="W229" s="11" t="n"/>
    </row>
    <row r="230">
      <c r="A230" s="44" t="n"/>
      <c r="B230" s="11" t="n"/>
      <c r="C230" s="11" t="n"/>
      <c r="D230" s="11" t="n"/>
      <c r="E230" s="11" t="n"/>
      <c r="F230" s="11" t="n"/>
      <c r="G230" s="55" t="n"/>
      <c r="H230" s="55" t="n"/>
      <c r="I230" s="55" t="n"/>
      <c r="J230" s="11" t="n"/>
      <c r="K230" s="56" t="n"/>
      <c r="L230" s="46">
        <f>K230-J230</f>
        <v/>
      </c>
      <c r="M230" s="47" t="n"/>
      <c r="N230" s="48">
        <f>IF(A230="","",COUNTIFS(上课记录!$B:$B,A230,上课记录!$J:$J,"是"))</f>
        <v/>
      </c>
      <c r="O230" s="31">
        <f>IF(A230="","",IF(F230="次卡",MAX(0,M230-N230),"—"))</f>
        <v/>
      </c>
      <c r="P230" s="31">
        <f>IF(A230="","",IF(F230="期限卡",MAX(0,I230-TODAY()),"—"))</f>
        <v/>
      </c>
      <c r="Q230" s="31">
        <f>IF(A230="","",IF(F230="次卡",IF(OR(K230="",K230=0,M230=0),"",K230/M230),IF(F230="期限卡",IF(AND(K230&lt;&gt;"",K230&lt;&gt;0,I230&gt;H230),K230/(I230-H230),""),"")))</f>
        <v/>
      </c>
      <c r="R230" s="31">
        <f>IF(A230="","",IF(F230="次卡",IF(OR(K230="",K230=0,M230=0),"",Q230*O230),IF(F230="期限卡",IF(AND(K230&lt;&gt;"",K230&lt;&gt;0,I230&gt;H230),Q230*P230,""),"")))</f>
        <v/>
      </c>
      <c r="S230" s="58">
        <f>IF(A230="","",IFERROR(_xlfn.MAXIFS(上课记录!$D:$D,上课记录!$B:$B,A230,上课记录!$J:$J,"是"),""))</f>
        <v/>
      </c>
      <c r="T230" s="31">
        <f>IF(A230="","",IF(S230="","",TODAY()-S230))</f>
        <v/>
      </c>
      <c r="U230" s="31">
        <f>IF(A230="","",IF(OR(AND(F230="次卡",O230=0),AND(F230="期限卡",P230=0)),"已到期",IF(T230&gt;=10,"沉睡客户",IF(T230&gt;=7,"预警客户","正常"))))</f>
        <v/>
      </c>
      <c r="V230" s="11" t="n"/>
      <c r="W230" s="11" t="n"/>
    </row>
    <row r="231">
      <c r="A231" s="44" t="n"/>
      <c r="B231" s="11" t="n"/>
      <c r="C231" s="11" t="n"/>
      <c r="D231" s="11" t="n"/>
      <c r="E231" s="11" t="n"/>
      <c r="F231" s="11" t="n"/>
      <c r="G231" s="55" t="n"/>
      <c r="H231" s="55" t="n"/>
      <c r="I231" s="55" t="n"/>
      <c r="J231" s="11" t="n"/>
      <c r="K231" s="56" t="n"/>
      <c r="L231" s="46">
        <f>K231-J231</f>
        <v/>
      </c>
      <c r="M231" s="47" t="n"/>
      <c r="N231" s="48">
        <f>IF(A231="","",COUNTIFS(上课记录!$B:$B,A231,上课记录!$J:$J,"是"))</f>
        <v/>
      </c>
      <c r="O231" s="31">
        <f>IF(A231="","",IF(F231="次卡",MAX(0,M231-N231),"—"))</f>
        <v/>
      </c>
      <c r="P231" s="31">
        <f>IF(A231="","",IF(F231="期限卡",MAX(0,I231-TODAY()),"—"))</f>
        <v/>
      </c>
      <c r="Q231" s="31">
        <f>IF(A231="","",IF(F231="次卡",IF(OR(K231="",K231=0,M231=0),"",K231/M231),IF(F231="期限卡",IF(AND(K231&lt;&gt;"",K231&lt;&gt;0,I231&gt;H231),K231/(I231-H231),""),"")))</f>
        <v/>
      </c>
      <c r="R231" s="31">
        <f>IF(A231="","",IF(F231="次卡",IF(OR(K231="",K231=0,M231=0),"",Q231*O231),IF(F231="期限卡",IF(AND(K231&lt;&gt;"",K231&lt;&gt;0,I231&gt;H231),Q231*P231,""),"")))</f>
        <v/>
      </c>
      <c r="S231" s="58">
        <f>IF(A231="","",IFERROR(_xlfn.MAXIFS(上课记录!$D:$D,上课记录!$B:$B,A231,上课记录!$J:$J,"是"),""))</f>
        <v/>
      </c>
      <c r="T231" s="31">
        <f>IF(A231="","",IF(S231="","",TODAY()-S231))</f>
        <v/>
      </c>
      <c r="U231" s="31">
        <f>IF(A231="","",IF(OR(AND(F231="次卡",O231=0),AND(F231="期限卡",P231=0)),"已到期",IF(T231&gt;=10,"沉睡客户",IF(T231&gt;=7,"预警客户","正常"))))</f>
        <v/>
      </c>
      <c r="V231" s="11" t="n"/>
      <c r="W231" s="11" t="n"/>
    </row>
    <row r="232">
      <c r="A232" s="44" t="n"/>
      <c r="B232" s="11" t="n"/>
      <c r="C232" s="11" t="n"/>
      <c r="D232" s="11" t="n"/>
      <c r="E232" s="11" t="n"/>
      <c r="F232" s="11" t="n"/>
      <c r="G232" s="55" t="n"/>
      <c r="H232" s="55" t="n"/>
      <c r="I232" s="55" t="n"/>
      <c r="J232" s="11" t="n"/>
      <c r="K232" s="56" t="n"/>
      <c r="L232" s="46">
        <f>K232-J232</f>
        <v/>
      </c>
      <c r="M232" s="47" t="n"/>
      <c r="N232" s="48">
        <f>IF(A232="","",COUNTIFS(上课记录!$B:$B,A232,上课记录!$J:$J,"是"))</f>
        <v/>
      </c>
      <c r="O232" s="31">
        <f>IF(A232="","",IF(F232="次卡",MAX(0,M232-N232),"—"))</f>
        <v/>
      </c>
      <c r="P232" s="31">
        <f>IF(A232="","",IF(F232="期限卡",MAX(0,I232-TODAY()),"—"))</f>
        <v/>
      </c>
      <c r="Q232" s="31">
        <f>IF(A232="","",IF(F232="次卡",IF(OR(K232="",K232=0,M232=0),"",K232/M232),IF(F232="期限卡",IF(AND(K232&lt;&gt;"",K232&lt;&gt;0,I232&gt;H232),K232/(I232-H232),""),"")))</f>
        <v/>
      </c>
      <c r="R232" s="31">
        <f>IF(A232="","",IF(F232="次卡",IF(OR(K232="",K232=0,M232=0),"",Q232*O232),IF(F232="期限卡",IF(AND(K232&lt;&gt;"",K232&lt;&gt;0,I232&gt;H232),Q232*P232,""),"")))</f>
        <v/>
      </c>
      <c r="S232" s="58">
        <f>IF(A232="","",IFERROR(_xlfn.MAXIFS(上课记录!$D:$D,上课记录!$B:$B,A232,上课记录!$J:$J,"是"),""))</f>
        <v/>
      </c>
      <c r="T232" s="31">
        <f>IF(A232="","",IF(S232="","",TODAY()-S232))</f>
        <v/>
      </c>
      <c r="U232" s="31">
        <f>IF(A232="","",IF(OR(AND(F232="次卡",O232=0),AND(F232="期限卡",P232=0)),"已到期",IF(T232&gt;=10,"沉睡客户",IF(T232&gt;=7,"预警客户","正常"))))</f>
        <v/>
      </c>
      <c r="V232" s="11" t="n"/>
      <c r="W232" s="11" t="n"/>
    </row>
    <row r="233">
      <c r="A233" s="44" t="n"/>
      <c r="B233" s="11" t="n"/>
      <c r="C233" s="11" t="n"/>
      <c r="D233" s="11" t="n"/>
      <c r="E233" s="11" t="n"/>
      <c r="F233" s="11" t="n"/>
      <c r="G233" s="55" t="n"/>
      <c r="H233" s="55" t="n"/>
      <c r="I233" s="55" t="n"/>
      <c r="J233" s="11" t="n"/>
      <c r="K233" s="56" t="n"/>
      <c r="L233" s="46">
        <f>K233-J233</f>
        <v/>
      </c>
      <c r="M233" s="47" t="n"/>
      <c r="N233" s="48">
        <f>IF(A233="","",COUNTIFS(上课记录!$B:$B,A233,上课记录!$J:$J,"是"))</f>
        <v/>
      </c>
      <c r="O233" s="31">
        <f>IF(A233="","",IF(F233="次卡",MAX(0,M233-N233),"—"))</f>
        <v/>
      </c>
      <c r="P233" s="31">
        <f>IF(A233="","",IF(F233="期限卡",MAX(0,I233-TODAY()),"—"))</f>
        <v/>
      </c>
      <c r="Q233" s="31">
        <f>IF(A233="","",IF(F233="次卡",IF(OR(K233="",K233=0,M233=0),"",K233/M233),IF(F233="期限卡",IF(AND(K233&lt;&gt;"",K233&lt;&gt;0,I233&gt;H233),K233/(I233-H233),""),"")))</f>
        <v/>
      </c>
      <c r="R233" s="31">
        <f>IF(A233="","",IF(F233="次卡",IF(OR(K233="",K233=0,M233=0),"",Q233*O233),IF(F233="期限卡",IF(AND(K233&lt;&gt;"",K233&lt;&gt;0,I233&gt;H233),Q233*P233,""),"")))</f>
        <v/>
      </c>
      <c r="S233" s="58">
        <f>IF(A233="","",IFERROR(_xlfn.MAXIFS(上课记录!$D:$D,上课记录!$B:$B,A233,上课记录!$J:$J,"是"),""))</f>
        <v/>
      </c>
      <c r="T233" s="31">
        <f>IF(A233="","",IF(S233="","",TODAY()-S233))</f>
        <v/>
      </c>
      <c r="U233" s="31">
        <f>IF(A233="","",IF(OR(AND(F233="次卡",O233=0),AND(F233="期限卡",P233=0)),"已到期",IF(T233&gt;=10,"沉睡客户",IF(T233&gt;=7,"预警客户","正常"))))</f>
        <v/>
      </c>
      <c r="V233" s="11" t="n"/>
      <c r="W233" s="11" t="n"/>
    </row>
    <row r="234">
      <c r="A234" s="44" t="n"/>
      <c r="B234" s="11" t="n"/>
      <c r="C234" s="11" t="n"/>
      <c r="D234" s="11" t="n"/>
      <c r="E234" s="11" t="n"/>
      <c r="F234" s="11" t="n"/>
      <c r="G234" s="55" t="n"/>
      <c r="H234" s="55" t="n"/>
      <c r="I234" s="55" t="n"/>
      <c r="J234" s="11" t="n"/>
      <c r="K234" s="56" t="n"/>
      <c r="L234" s="46">
        <f>K234-J234</f>
        <v/>
      </c>
      <c r="M234" s="47" t="n"/>
      <c r="N234" s="48">
        <f>IF(A234="","",COUNTIFS(上课记录!$B:$B,A234,上课记录!$J:$J,"是"))</f>
        <v/>
      </c>
      <c r="O234" s="31">
        <f>IF(A234="","",IF(F234="次卡",MAX(0,M234-N234),"—"))</f>
        <v/>
      </c>
      <c r="P234" s="31">
        <f>IF(A234="","",IF(F234="期限卡",MAX(0,I234-TODAY()),"—"))</f>
        <v/>
      </c>
      <c r="Q234" s="31">
        <f>IF(A234="","",IF(F234="次卡",IF(OR(K234="",K234=0,M234=0),"",K234/M234),IF(F234="期限卡",IF(AND(K234&lt;&gt;"",K234&lt;&gt;0,I234&gt;H234),K234/(I234-H234),""),"")))</f>
        <v/>
      </c>
      <c r="R234" s="31">
        <f>IF(A234="","",IF(F234="次卡",IF(OR(K234="",K234=0,M234=0),"",Q234*O234),IF(F234="期限卡",IF(AND(K234&lt;&gt;"",K234&lt;&gt;0,I234&gt;H234),Q234*P234,""),"")))</f>
        <v/>
      </c>
      <c r="S234" s="58">
        <f>IF(A234="","",IFERROR(_xlfn.MAXIFS(上课记录!$D:$D,上课记录!$B:$B,A234,上课记录!$J:$J,"是"),""))</f>
        <v/>
      </c>
      <c r="T234" s="31">
        <f>IF(A234="","",IF(S234="","",TODAY()-S234))</f>
        <v/>
      </c>
      <c r="U234" s="31">
        <f>IF(A234="","",IF(OR(AND(F234="次卡",O234=0),AND(F234="期限卡",P234=0)),"已到期",IF(T234&gt;=10,"沉睡客户",IF(T234&gt;=7,"预警客户","正常"))))</f>
        <v/>
      </c>
      <c r="V234" s="11" t="n"/>
      <c r="W234" s="11" t="n"/>
    </row>
    <row r="235">
      <c r="A235" s="44" t="n"/>
      <c r="B235" s="11" t="n"/>
      <c r="C235" s="11" t="n"/>
      <c r="D235" s="11" t="n"/>
      <c r="E235" s="11" t="n"/>
      <c r="F235" s="11" t="n"/>
      <c r="G235" s="55" t="n"/>
      <c r="H235" s="55" t="n"/>
      <c r="I235" s="55" t="n"/>
      <c r="J235" s="11" t="n"/>
      <c r="K235" s="56" t="n"/>
      <c r="L235" s="46">
        <f>K235-J235</f>
        <v/>
      </c>
      <c r="M235" s="47" t="n"/>
      <c r="N235" s="48">
        <f>IF(A235="","",COUNTIFS(上课记录!$B:$B,A235,上课记录!$J:$J,"是"))</f>
        <v/>
      </c>
      <c r="O235" s="31">
        <f>IF(A235="","",IF(F235="次卡",MAX(0,M235-N235),"—"))</f>
        <v/>
      </c>
      <c r="P235" s="31">
        <f>IF(A235="","",IF(F235="期限卡",MAX(0,I235-TODAY()),"—"))</f>
        <v/>
      </c>
      <c r="Q235" s="31">
        <f>IF(A235="","",IF(F235="次卡",IF(OR(K235="",K235=0,M235=0),"",K235/M235),IF(F235="期限卡",IF(AND(K235&lt;&gt;"",K235&lt;&gt;0,I235&gt;H235),K235/(I235-H235),""),"")))</f>
        <v/>
      </c>
      <c r="R235" s="31">
        <f>IF(A235="","",IF(F235="次卡",IF(OR(K235="",K235=0,M235=0),"",Q235*O235),IF(F235="期限卡",IF(AND(K235&lt;&gt;"",K235&lt;&gt;0,I235&gt;H235),Q235*P235,""),"")))</f>
        <v/>
      </c>
      <c r="S235" s="58">
        <f>IF(A235="","",IFERROR(_xlfn.MAXIFS(上课记录!$D:$D,上课记录!$B:$B,A235,上课记录!$J:$J,"是"),""))</f>
        <v/>
      </c>
      <c r="T235" s="31">
        <f>IF(A235="","",IF(S235="","",TODAY()-S235))</f>
        <v/>
      </c>
      <c r="U235" s="31">
        <f>IF(A235="","",IF(OR(AND(F235="次卡",O235=0),AND(F235="期限卡",P235=0)),"已到期",IF(T235&gt;=10,"沉睡客户",IF(T235&gt;=7,"预警客户","正常"))))</f>
        <v/>
      </c>
      <c r="V235" s="11" t="n"/>
      <c r="W235" s="11" t="n"/>
    </row>
    <row r="236">
      <c r="A236" s="44" t="n"/>
      <c r="B236" s="11" t="n"/>
      <c r="C236" s="11" t="n"/>
      <c r="D236" s="11" t="n"/>
      <c r="E236" s="11" t="n"/>
      <c r="F236" s="11" t="n"/>
      <c r="G236" s="55" t="n"/>
      <c r="H236" s="55" t="n"/>
      <c r="I236" s="55" t="n"/>
      <c r="J236" s="11" t="n"/>
      <c r="K236" s="56" t="n"/>
      <c r="L236" s="46">
        <f>K236-J236</f>
        <v/>
      </c>
      <c r="M236" s="47" t="n"/>
      <c r="N236" s="48">
        <f>IF(A236="","",COUNTIFS(上课记录!$B:$B,A236,上课记录!$J:$J,"是"))</f>
        <v/>
      </c>
      <c r="O236" s="31">
        <f>IF(A236="","",IF(F236="次卡",MAX(0,M236-N236),"—"))</f>
        <v/>
      </c>
      <c r="P236" s="31">
        <f>IF(A236="","",IF(F236="期限卡",MAX(0,I236-TODAY()),"—"))</f>
        <v/>
      </c>
      <c r="Q236" s="31">
        <f>IF(A236="","",IF(F236="次卡",IF(OR(K236="",K236=0,M236=0),"",K236/M236),IF(F236="期限卡",IF(AND(K236&lt;&gt;"",K236&lt;&gt;0,I236&gt;H236),K236/(I236-H236),""),"")))</f>
        <v/>
      </c>
      <c r="R236" s="31">
        <f>IF(A236="","",IF(F236="次卡",IF(OR(K236="",K236=0,M236=0),"",Q236*O236),IF(F236="期限卡",IF(AND(K236&lt;&gt;"",K236&lt;&gt;0,I236&gt;H236),Q236*P236,""),"")))</f>
        <v/>
      </c>
      <c r="S236" s="58">
        <f>IF(A236="","",IFERROR(_xlfn.MAXIFS(上课记录!$D:$D,上课记录!$B:$B,A236,上课记录!$J:$J,"是"),""))</f>
        <v/>
      </c>
      <c r="T236" s="31">
        <f>IF(A236="","",IF(S236="","",TODAY()-S236))</f>
        <v/>
      </c>
      <c r="U236" s="31">
        <f>IF(A236="","",IF(OR(AND(F236="次卡",O236=0),AND(F236="期限卡",P236=0)),"已到期",IF(T236&gt;=10,"沉睡客户",IF(T236&gt;=7,"预警客户","正常"))))</f>
        <v/>
      </c>
      <c r="V236" s="11" t="n"/>
      <c r="W236" s="11" t="n"/>
    </row>
    <row r="237">
      <c r="A237" s="44" t="n"/>
      <c r="B237" s="11" t="n"/>
      <c r="C237" s="11" t="n"/>
      <c r="D237" s="11" t="n"/>
      <c r="E237" s="11" t="n"/>
      <c r="F237" s="11" t="n"/>
      <c r="G237" s="55" t="n"/>
      <c r="H237" s="55" t="n"/>
      <c r="I237" s="55" t="n"/>
      <c r="J237" s="11" t="n"/>
      <c r="K237" s="56" t="n"/>
      <c r="L237" s="46">
        <f>K237-J237</f>
        <v/>
      </c>
      <c r="M237" s="47" t="n"/>
      <c r="N237" s="48">
        <f>IF(A237="","",COUNTIFS(上课记录!$B:$B,A237,上课记录!$J:$J,"是"))</f>
        <v/>
      </c>
      <c r="O237" s="31">
        <f>IF(A237="","",IF(F237="次卡",MAX(0,M237-N237),"—"))</f>
        <v/>
      </c>
      <c r="P237" s="31">
        <f>IF(A237="","",IF(F237="期限卡",MAX(0,I237-TODAY()),"—"))</f>
        <v/>
      </c>
      <c r="Q237" s="31">
        <f>IF(A237="","",IF(F237="次卡",IF(OR(K237="",K237=0,M237=0),"",K237/M237),IF(F237="期限卡",IF(AND(K237&lt;&gt;"",K237&lt;&gt;0,I237&gt;H237),K237/(I237-H237),""),"")))</f>
        <v/>
      </c>
      <c r="R237" s="31">
        <f>IF(A237="","",IF(F237="次卡",IF(OR(K237="",K237=0,M237=0),"",Q237*O237),IF(F237="期限卡",IF(AND(K237&lt;&gt;"",K237&lt;&gt;0,I237&gt;H237),Q237*P237,""),"")))</f>
        <v/>
      </c>
      <c r="S237" s="58">
        <f>IF(A237="","",IFERROR(_xlfn.MAXIFS(上课记录!$D:$D,上课记录!$B:$B,A237,上课记录!$J:$J,"是"),""))</f>
        <v/>
      </c>
      <c r="T237" s="31">
        <f>IF(A237="","",IF(S237="","",TODAY()-S237))</f>
        <v/>
      </c>
      <c r="U237" s="31">
        <f>IF(A237="","",IF(OR(AND(F237="次卡",O237=0),AND(F237="期限卡",P237=0)),"已到期",IF(T237&gt;=10,"沉睡客户",IF(T237&gt;=7,"预警客户","正常"))))</f>
        <v/>
      </c>
      <c r="V237" s="11" t="n"/>
      <c r="W237" s="11" t="n"/>
    </row>
    <row r="238">
      <c r="A238" s="44" t="n"/>
      <c r="B238" s="11" t="n"/>
      <c r="C238" s="11" t="n"/>
      <c r="D238" s="11" t="n"/>
      <c r="E238" s="11" t="n"/>
      <c r="F238" s="11" t="n"/>
      <c r="G238" s="55" t="n"/>
      <c r="H238" s="55" t="n"/>
      <c r="I238" s="55" t="n"/>
      <c r="J238" s="11" t="n"/>
      <c r="K238" s="56" t="n"/>
      <c r="L238" s="46">
        <f>K238-J238</f>
        <v/>
      </c>
      <c r="M238" s="47" t="n"/>
      <c r="N238" s="48">
        <f>IF(A238="","",COUNTIFS(上课记录!$B:$B,A238,上课记录!$J:$J,"是"))</f>
        <v/>
      </c>
      <c r="O238" s="31">
        <f>IF(A238="","",IF(F238="次卡",MAX(0,M238-N238),"—"))</f>
        <v/>
      </c>
      <c r="P238" s="31">
        <f>IF(A238="","",IF(F238="期限卡",MAX(0,I238-TODAY()),"—"))</f>
        <v/>
      </c>
      <c r="Q238" s="31">
        <f>IF(A238="","",IF(F238="次卡",IF(OR(K238="",K238=0,M238=0),"",K238/M238),IF(F238="期限卡",IF(AND(K238&lt;&gt;"",K238&lt;&gt;0,I238&gt;H238),K238/(I238-H238),""),"")))</f>
        <v/>
      </c>
      <c r="R238" s="31">
        <f>IF(A238="","",IF(F238="次卡",IF(OR(K238="",K238=0,M238=0),"",Q238*O238),IF(F238="期限卡",IF(AND(K238&lt;&gt;"",K238&lt;&gt;0,I238&gt;H238),Q238*P238,""),"")))</f>
        <v/>
      </c>
      <c r="S238" s="58">
        <f>IF(A238="","",IFERROR(_xlfn.MAXIFS(上课记录!$D:$D,上课记录!$B:$B,A238,上课记录!$J:$J,"是"),""))</f>
        <v/>
      </c>
      <c r="T238" s="31">
        <f>IF(A238="","",IF(S238="","",TODAY()-S238))</f>
        <v/>
      </c>
      <c r="U238" s="31">
        <f>IF(A238="","",IF(OR(AND(F238="次卡",O238=0),AND(F238="期限卡",P238=0)),"已到期",IF(T238&gt;=10,"沉睡客户",IF(T238&gt;=7,"预警客户","正常"))))</f>
        <v/>
      </c>
      <c r="V238" s="11" t="n"/>
      <c r="W238" s="11" t="n"/>
    </row>
    <row r="239">
      <c r="A239" s="44" t="n"/>
      <c r="B239" s="11" t="n"/>
      <c r="C239" s="11" t="n"/>
      <c r="D239" s="11" t="n"/>
      <c r="E239" s="11" t="n"/>
      <c r="F239" s="11" t="n"/>
      <c r="G239" s="55" t="n"/>
      <c r="H239" s="55" t="n"/>
      <c r="I239" s="55" t="n"/>
      <c r="J239" s="11" t="n"/>
      <c r="K239" s="56" t="n"/>
      <c r="L239" s="46">
        <f>K239-J239</f>
        <v/>
      </c>
      <c r="M239" s="47" t="n"/>
      <c r="N239" s="48">
        <f>IF(A239="","",COUNTIFS(上课记录!$B:$B,A239,上课记录!$J:$J,"是"))</f>
        <v/>
      </c>
      <c r="O239" s="31">
        <f>IF(A239="","",IF(F239="次卡",MAX(0,M239-N239),"—"))</f>
        <v/>
      </c>
      <c r="P239" s="31">
        <f>IF(A239="","",IF(F239="期限卡",MAX(0,I239-TODAY()),"—"))</f>
        <v/>
      </c>
      <c r="Q239" s="31">
        <f>IF(A239="","",IF(F239="次卡",IF(OR(K239="",K239=0,M239=0),"",K239/M239),IF(F239="期限卡",IF(AND(K239&lt;&gt;"",K239&lt;&gt;0,I239&gt;H239),K239/(I239-H239),""),"")))</f>
        <v/>
      </c>
      <c r="R239" s="31">
        <f>IF(A239="","",IF(F239="次卡",IF(OR(K239="",K239=0,M239=0),"",Q239*O239),IF(F239="期限卡",IF(AND(K239&lt;&gt;"",K239&lt;&gt;0,I239&gt;H239),Q239*P239,""),"")))</f>
        <v/>
      </c>
      <c r="S239" s="58">
        <f>IF(A239="","",IFERROR(_xlfn.MAXIFS(上课记录!$D:$D,上课记录!$B:$B,A239,上课记录!$J:$J,"是"),""))</f>
        <v/>
      </c>
      <c r="T239" s="31">
        <f>IF(A239="","",IF(S239="","",TODAY()-S239))</f>
        <v/>
      </c>
      <c r="U239" s="31">
        <f>IF(A239="","",IF(OR(AND(F239="次卡",O239=0),AND(F239="期限卡",P239=0)),"已到期",IF(T239&gt;=10,"沉睡客户",IF(T239&gt;=7,"预警客户","正常"))))</f>
        <v/>
      </c>
      <c r="V239" s="11" t="n"/>
      <c r="W239" s="11" t="n"/>
    </row>
    <row r="240">
      <c r="A240" s="44" t="n"/>
      <c r="B240" s="11" t="n"/>
      <c r="C240" s="11" t="n"/>
      <c r="D240" s="11" t="n"/>
      <c r="E240" s="11" t="n"/>
      <c r="F240" s="11" t="n"/>
      <c r="G240" s="55" t="n"/>
      <c r="H240" s="55" t="n"/>
      <c r="I240" s="55" t="n"/>
      <c r="J240" s="11" t="n"/>
      <c r="K240" s="56" t="n"/>
      <c r="L240" s="46">
        <f>K240-J240</f>
        <v/>
      </c>
      <c r="M240" s="47" t="n"/>
      <c r="N240" s="48">
        <f>IF(A240="","",COUNTIFS(上课记录!$B:$B,A240,上课记录!$J:$J,"是"))</f>
        <v/>
      </c>
      <c r="O240" s="31">
        <f>IF(A240="","",IF(F240="次卡",MAX(0,M240-N240),"—"))</f>
        <v/>
      </c>
      <c r="P240" s="31">
        <f>IF(A240="","",IF(F240="期限卡",MAX(0,I240-TODAY()),"—"))</f>
        <v/>
      </c>
      <c r="Q240" s="31">
        <f>IF(A240="","",IF(F240="次卡",IF(OR(K240="",K240=0,M240=0),"",K240/M240),IF(F240="期限卡",IF(AND(K240&lt;&gt;"",K240&lt;&gt;0,I240&gt;H240),K240/(I240-H240),""),"")))</f>
        <v/>
      </c>
      <c r="R240" s="31">
        <f>IF(A240="","",IF(F240="次卡",IF(OR(K240="",K240=0,M240=0),"",Q240*O240),IF(F240="期限卡",IF(AND(K240&lt;&gt;"",K240&lt;&gt;0,I240&gt;H240),Q240*P240,""),"")))</f>
        <v/>
      </c>
      <c r="S240" s="58">
        <f>IF(A240="","",IFERROR(_xlfn.MAXIFS(上课记录!$D:$D,上课记录!$B:$B,A240,上课记录!$J:$J,"是"),""))</f>
        <v/>
      </c>
      <c r="T240" s="31">
        <f>IF(A240="","",IF(S240="","",TODAY()-S240))</f>
        <v/>
      </c>
      <c r="U240" s="31">
        <f>IF(A240="","",IF(OR(AND(F240="次卡",O240=0),AND(F240="期限卡",P240=0)),"已到期",IF(T240&gt;=10,"沉睡客户",IF(T240&gt;=7,"预警客户","正常"))))</f>
        <v/>
      </c>
      <c r="V240" s="11" t="n"/>
      <c r="W240" s="11" t="n"/>
    </row>
    <row r="241">
      <c r="A241" s="44" t="n"/>
      <c r="B241" s="11" t="n"/>
      <c r="C241" s="11" t="n"/>
      <c r="D241" s="11" t="n"/>
      <c r="E241" s="11" t="n"/>
      <c r="F241" s="11" t="n"/>
      <c r="G241" s="55" t="n"/>
      <c r="H241" s="55" t="n"/>
      <c r="I241" s="55" t="n"/>
      <c r="J241" s="11" t="n"/>
      <c r="K241" s="56" t="n"/>
      <c r="L241" s="46">
        <f>K241-J241</f>
        <v/>
      </c>
      <c r="M241" s="47" t="n"/>
      <c r="N241" s="48">
        <f>IF(A241="","",COUNTIFS(上课记录!$B:$B,A241,上课记录!$J:$J,"是"))</f>
        <v/>
      </c>
      <c r="O241" s="31">
        <f>IF(A241="","",IF(F241="次卡",MAX(0,M241-N241),"—"))</f>
        <v/>
      </c>
      <c r="P241" s="31">
        <f>IF(A241="","",IF(F241="期限卡",MAX(0,I241-TODAY()),"—"))</f>
        <v/>
      </c>
      <c r="Q241" s="31">
        <f>IF(A241="","",IF(F241="次卡",IF(OR(K241="",K241=0,M241=0),"",K241/M241),IF(F241="期限卡",IF(AND(K241&lt;&gt;"",K241&lt;&gt;0,I241&gt;H241),K241/(I241-H241),""),"")))</f>
        <v/>
      </c>
      <c r="R241" s="31">
        <f>IF(A241="","",IF(F241="次卡",IF(OR(K241="",K241=0,M241=0),"",Q241*O241),IF(F241="期限卡",IF(AND(K241&lt;&gt;"",K241&lt;&gt;0,I241&gt;H241),Q241*P241,""),"")))</f>
        <v/>
      </c>
      <c r="S241" s="58">
        <f>IF(A241="","",IFERROR(_xlfn.MAXIFS(上课记录!$D:$D,上课记录!$B:$B,A241,上课记录!$J:$J,"是"),""))</f>
        <v/>
      </c>
      <c r="T241" s="31">
        <f>IF(A241="","",IF(S241="","",TODAY()-S241))</f>
        <v/>
      </c>
      <c r="U241" s="31">
        <f>IF(A241="","",IF(OR(AND(F241="次卡",O241=0),AND(F241="期限卡",P241=0)),"已到期",IF(T241&gt;=10,"沉睡客户",IF(T241&gt;=7,"预警客户","正常"))))</f>
        <v/>
      </c>
      <c r="V241" s="11" t="n"/>
      <c r="W241" s="11" t="n"/>
    </row>
    <row r="242">
      <c r="A242" s="44" t="n"/>
      <c r="B242" s="11" t="n"/>
      <c r="C242" s="11" t="n"/>
      <c r="D242" s="11" t="n"/>
      <c r="E242" s="11" t="n"/>
      <c r="F242" s="11" t="n"/>
      <c r="G242" s="55" t="n"/>
      <c r="H242" s="55" t="n"/>
      <c r="I242" s="55" t="n"/>
      <c r="J242" s="11" t="n"/>
      <c r="K242" s="56" t="n"/>
      <c r="L242" s="46">
        <f>K242-J242</f>
        <v/>
      </c>
      <c r="M242" s="47" t="n"/>
      <c r="N242" s="48">
        <f>IF(A242="","",COUNTIFS(上课记录!$B:$B,A242,上课记录!$J:$J,"是"))</f>
        <v/>
      </c>
      <c r="O242" s="31">
        <f>IF(A242="","",IF(F242="次卡",MAX(0,M242-N242),"—"))</f>
        <v/>
      </c>
      <c r="P242" s="31">
        <f>IF(A242="","",IF(F242="期限卡",MAX(0,I242-TODAY()),"—"))</f>
        <v/>
      </c>
      <c r="Q242" s="31">
        <f>IF(A242="","",IF(F242="次卡",IF(OR(K242="",K242=0,M242=0),"",K242/M242),IF(F242="期限卡",IF(AND(K242&lt;&gt;"",K242&lt;&gt;0,I242&gt;H242),K242/(I242-H242),""),"")))</f>
        <v/>
      </c>
      <c r="R242" s="31">
        <f>IF(A242="","",IF(F242="次卡",IF(OR(K242="",K242=0,M242=0),"",Q242*O242),IF(F242="期限卡",IF(AND(K242&lt;&gt;"",K242&lt;&gt;0,I242&gt;H242),Q242*P242,""),"")))</f>
        <v/>
      </c>
      <c r="S242" s="58">
        <f>IF(A242="","",IFERROR(_xlfn.MAXIFS(上课记录!$D:$D,上课记录!$B:$B,A242,上课记录!$J:$J,"是"),""))</f>
        <v/>
      </c>
      <c r="T242" s="31">
        <f>IF(A242="","",IF(S242="","",TODAY()-S242))</f>
        <v/>
      </c>
      <c r="U242" s="31">
        <f>IF(A242="","",IF(OR(AND(F242="次卡",O242=0),AND(F242="期限卡",P242=0)),"已到期",IF(T242&gt;=10,"沉睡客户",IF(T242&gt;=7,"预警客户","正常"))))</f>
        <v/>
      </c>
      <c r="V242" s="11" t="n"/>
      <c r="W242" s="11" t="n"/>
    </row>
    <row r="243">
      <c r="A243" s="44" t="n"/>
      <c r="B243" s="11" t="n"/>
      <c r="C243" s="11" t="n"/>
      <c r="D243" s="11" t="n"/>
      <c r="E243" s="11" t="n"/>
      <c r="F243" s="11" t="n"/>
      <c r="G243" s="55" t="n"/>
      <c r="H243" s="55" t="n"/>
      <c r="I243" s="55" t="n"/>
      <c r="J243" s="11" t="n"/>
      <c r="K243" s="56" t="n"/>
      <c r="L243" s="46">
        <f>K243-J243</f>
        <v/>
      </c>
      <c r="M243" s="47" t="n"/>
      <c r="N243" s="48">
        <f>IF(A243="","",COUNTIFS(上课记录!$B:$B,A243,上课记录!$J:$J,"是"))</f>
        <v/>
      </c>
      <c r="O243" s="31">
        <f>IF(A243="","",IF(F243="次卡",MAX(0,M243-N243),"—"))</f>
        <v/>
      </c>
      <c r="P243" s="31">
        <f>IF(A243="","",IF(F243="期限卡",MAX(0,I243-TODAY()),"—"))</f>
        <v/>
      </c>
      <c r="Q243" s="31">
        <f>IF(A243="","",IF(F243="次卡",IF(OR(K243="",K243=0,M243=0),"",K243/M243),IF(F243="期限卡",IF(AND(K243&lt;&gt;"",K243&lt;&gt;0,I243&gt;H243),K243/(I243-H243),""),"")))</f>
        <v/>
      </c>
      <c r="R243" s="31">
        <f>IF(A243="","",IF(F243="次卡",IF(OR(K243="",K243=0,M243=0),"",Q243*O243),IF(F243="期限卡",IF(AND(K243&lt;&gt;"",K243&lt;&gt;0,I243&gt;H243),Q243*P243,""),"")))</f>
        <v/>
      </c>
      <c r="S243" s="58">
        <f>IF(A243="","",IFERROR(_xlfn.MAXIFS(上课记录!$D:$D,上课记录!$B:$B,A243,上课记录!$J:$J,"是"),""))</f>
        <v/>
      </c>
      <c r="T243" s="31">
        <f>IF(A243="","",IF(S243="","",TODAY()-S243))</f>
        <v/>
      </c>
      <c r="U243" s="31">
        <f>IF(A243="","",IF(OR(AND(F243="次卡",O243=0),AND(F243="期限卡",P243=0)),"已到期",IF(T243&gt;=10,"沉睡客户",IF(T243&gt;=7,"预警客户","正常"))))</f>
        <v/>
      </c>
      <c r="V243" s="11" t="n"/>
      <c r="W243" s="11" t="n"/>
    </row>
    <row r="244">
      <c r="A244" s="44" t="n"/>
      <c r="B244" s="11" t="n"/>
      <c r="C244" s="11" t="n"/>
      <c r="D244" s="11" t="n"/>
      <c r="E244" s="11" t="n"/>
      <c r="F244" s="11" t="n"/>
      <c r="G244" s="55" t="n"/>
      <c r="H244" s="55" t="n"/>
      <c r="I244" s="55" t="n"/>
      <c r="J244" s="11" t="n"/>
      <c r="K244" s="56" t="n"/>
      <c r="L244" s="46">
        <f>K244-J244</f>
        <v/>
      </c>
      <c r="M244" s="47" t="n"/>
      <c r="N244" s="48">
        <f>IF(A244="","",COUNTIFS(上课记录!$B:$B,A244,上课记录!$J:$J,"是"))</f>
        <v/>
      </c>
      <c r="O244" s="31">
        <f>IF(A244="","",IF(F244="次卡",MAX(0,M244-N244),"—"))</f>
        <v/>
      </c>
      <c r="P244" s="31">
        <f>IF(A244="","",IF(F244="期限卡",MAX(0,I244-TODAY()),"—"))</f>
        <v/>
      </c>
      <c r="Q244" s="31">
        <f>IF(A244="","",IF(F244="次卡",IF(OR(K244="",K244=0,M244=0),"",K244/M244),IF(F244="期限卡",IF(AND(K244&lt;&gt;"",K244&lt;&gt;0,I244&gt;H244),K244/(I244-H244),""),"")))</f>
        <v/>
      </c>
      <c r="R244" s="31">
        <f>IF(A244="","",IF(F244="次卡",IF(OR(K244="",K244=0,M244=0),"",Q244*O244),IF(F244="期限卡",IF(AND(K244&lt;&gt;"",K244&lt;&gt;0,I244&gt;H244),Q244*P244,""),"")))</f>
        <v/>
      </c>
      <c r="S244" s="58">
        <f>IF(A244="","",IFERROR(_xlfn.MAXIFS(上课记录!$D:$D,上课记录!$B:$B,A244,上课记录!$J:$J,"是"),""))</f>
        <v/>
      </c>
      <c r="T244" s="31">
        <f>IF(A244="","",IF(S244="","",TODAY()-S244))</f>
        <v/>
      </c>
      <c r="U244" s="31">
        <f>IF(A244="","",IF(OR(AND(F244="次卡",O244=0),AND(F244="期限卡",P244=0)),"已到期",IF(T244&gt;=10,"沉睡客户",IF(T244&gt;=7,"预警客户","正常"))))</f>
        <v/>
      </c>
      <c r="V244" s="11" t="n"/>
      <c r="W244" s="11" t="n"/>
    </row>
    <row r="245">
      <c r="A245" s="44" t="n"/>
      <c r="B245" s="11" t="n"/>
      <c r="C245" s="11" t="n"/>
      <c r="D245" s="11" t="n"/>
      <c r="E245" s="11" t="n"/>
      <c r="F245" s="11" t="n"/>
      <c r="G245" s="55" t="n"/>
      <c r="H245" s="55" t="n"/>
      <c r="I245" s="55" t="n"/>
      <c r="J245" s="11" t="n"/>
      <c r="K245" s="56" t="n"/>
      <c r="L245" s="46">
        <f>K245-J245</f>
        <v/>
      </c>
      <c r="M245" s="47" t="n"/>
      <c r="N245" s="48">
        <f>IF(A245="","",COUNTIFS(上课记录!$B:$B,A245,上课记录!$J:$J,"是"))</f>
        <v/>
      </c>
      <c r="O245" s="31">
        <f>IF(A245="","",IF(F245="次卡",MAX(0,M245-N245),"—"))</f>
        <v/>
      </c>
      <c r="P245" s="31">
        <f>IF(A245="","",IF(F245="期限卡",MAX(0,I245-TODAY()),"—"))</f>
        <v/>
      </c>
      <c r="Q245" s="31">
        <f>IF(A245="","",IF(F245="次卡",IF(OR(K245="",K245=0,M245=0),"",K245/M245),IF(F245="期限卡",IF(AND(K245&lt;&gt;"",K245&lt;&gt;0,I245&gt;H245),K245/(I245-H245),""),"")))</f>
        <v/>
      </c>
      <c r="R245" s="31">
        <f>IF(A245="","",IF(F245="次卡",IF(OR(K245="",K245=0,M245=0),"",Q245*O245),IF(F245="期限卡",IF(AND(K245&lt;&gt;"",K245&lt;&gt;0,I245&gt;H245),Q245*P245,""),"")))</f>
        <v/>
      </c>
      <c r="S245" s="58">
        <f>IF(A245="","",IFERROR(_xlfn.MAXIFS(上课记录!$D:$D,上课记录!$B:$B,A245,上课记录!$J:$J,"是"),""))</f>
        <v/>
      </c>
      <c r="T245" s="31">
        <f>IF(A245="","",IF(S245="","",TODAY()-S245))</f>
        <v/>
      </c>
      <c r="U245" s="31">
        <f>IF(A245="","",IF(OR(AND(F245="次卡",O245=0),AND(F245="期限卡",P245=0)),"已到期",IF(T245&gt;=10,"沉睡客户",IF(T245&gt;=7,"预警客户","正常"))))</f>
        <v/>
      </c>
      <c r="V245" s="11" t="n"/>
      <c r="W245" s="11" t="n"/>
    </row>
    <row r="246">
      <c r="A246" s="44" t="n"/>
      <c r="B246" s="11" t="n"/>
      <c r="C246" s="11" t="n"/>
      <c r="D246" s="11" t="n"/>
      <c r="E246" s="11" t="n"/>
      <c r="F246" s="11" t="n"/>
      <c r="G246" s="55" t="n"/>
      <c r="H246" s="55" t="n"/>
      <c r="I246" s="55" t="n"/>
      <c r="J246" s="11" t="n"/>
      <c r="K246" s="56" t="n"/>
      <c r="L246" s="46">
        <f>K246-J246</f>
        <v/>
      </c>
      <c r="M246" s="47" t="n"/>
      <c r="N246" s="48">
        <f>IF(A246="","",COUNTIFS(上课记录!$B:$B,A246,上课记录!$J:$J,"是"))</f>
        <v/>
      </c>
      <c r="O246" s="31">
        <f>IF(A246="","",IF(F246="次卡",MAX(0,M246-N246),"—"))</f>
        <v/>
      </c>
      <c r="P246" s="31">
        <f>IF(A246="","",IF(F246="期限卡",MAX(0,I246-TODAY()),"—"))</f>
        <v/>
      </c>
      <c r="Q246" s="31">
        <f>IF(A246="","",IF(F246="次卡",IF(OR(K246="",K246=0,M246=0),"",K246/M246),IF(F246="期限卡",IF(AND(K246&lt;&gt;"",K246&lt;&gt;0,I246&gt;H246),K246/(I246-H246),""),"")))</f>
        <v/>
      </c>
      <c r="R246" s="31">
        <f>IF(A246="","",IF(F246="次卡",IF(OR(K246="",K246=0,M246=0),"",Q246*O246),IF(F246="期限卡",IF(AND(K246&lt;&gt;"",K246&lt;&gt;0,I246&gt;H246),Q246*P246,""),"")))</f>
        <v/>
      </c>
      <c r="S246" s="58">
        <f>IF(A246="","",IFERROR(_xlfn.MAXIFS(上课记录!$D:$D,上课记录!$B:$B,A246,上课记录!$J:$J,"是"),""))</f>
        <v/>
      </c>
      <c r="T246" s="31">
        <f>IF(A246="","",IF(S246="","",TODAY()-S246))</f>
        <v/>
      </c>
      <c r="U246" s="31">
        <f>IF(A246="","",IF(OR(AND(F246="次卡",O246=0),AND(F246="期限卡",P246=0)),"已到期",IF(T246&gt;=10,"沉睡客户",IF(T246&gt;=7,"预警客户","正常"))))</f>
        <v/>
      </c>
      <c r="V246" s="11" t="n"/>
      <c r="W246" s="11" t="n"/>
    </row>
    <row r="247">
      <c r="A247" s="44" t="n"/>
      <c r="B247" s="11" t="n"/>
      <c r="C247" s="11" t="n"/>
      <c r="D247" s="11" t="n"/>
      <c r="E247" s="11" t="n"/>
      <c r="F247" s="11" t="n"/>
      <c r="G247" s="55" t="n"/>
      <c r="H247" s="55" t="n"/>
      <c r="I247" s="55" t="n"/>
      <c r="J247" s="11" t="n"/>
      <c r="K247" s="56" t="n"/>
      <c r="L247" s="46">
        <f>K247-J247</f>
        <v/>
      </c>
      <c r="M247" s="47" t="n"/>
      <c r="N247" s="48">
        <f>IF(A247="","",COUNTIFS(上课记录!$B:$B,A247,上课记录!$J:$J,"是"))</f>
        <v/>
      </c>
      <c r="O247" s="31">
        <f>IF(A247="","",IF(F247="次卡",MAX(0,M247-N247),"—"))</f>
        <v/>
      </c>
      <c r="P247" s="31">
        <f>IF(A247="","",IF(F247="期限卡",MAX(0,I247-TODAY()),"—"))</f>
        <v/>
      </c>
      <c r="Q247" s="31">
        <f>IF(A247="","",IF(F247="次卡",IF(OR(K247="",K247=0,M247=0),"",K247/M247),IF(F247="期限卡",IF(AND(K247&lt;&gt;"",K247&lt;&gt;0,I247&gt;H247),K247/(I247-H247),""),"")))</f>
        <v/>
      </c>
      <c r="R247" s="31">
        <f>IF(A247="","",IF(F247="次卡",IF(OR(K247="",K247=0,M247=0),"",Q247*O247),IF(F247="期限卡",IF(AND(K247&lt;&gt;"",K247&lt;&gt;0,I247&gt;H247),Q247*P247,""),"")))</f>
        <v/>
      </c>
      <c r="S247" s="58">
        <f>IF(A247="","",IFERROR(_xlfn.MAXIFS(上课记录!$D:$D,上课记录!$B:$B,A247,上课记录!$J:$J,"是"),""))</f>
        <v/>
      </c>
      <c r="T247" s="31">
        <f>IF(A247="","",IF(S247="","",TODAY()-S247))</f>
        <v/>
      </c>
      <c r="U247" s="31">
        <f>IF(A247="","",IF(OR(AND(F247="次卡",O247=0),AND(F247="期限卡",P247=0)),"已到期",IF(T247&gt;=10,"沉睡客户",IF(T247&gt;=7,"预警客户","正常"))))</f>
        <v/>
      </c>
      <c r="V247" s="11" t="n"/>
      <c r="W247" s="11" t="n"/>
    </row>
    <row r="248">
      <c r="A248" s="44" t="n"/>
      <c r="B248" s="11" t="n"/>
      <c r="C248" s="11" t="n"/>
      <c r="D248" s="11" t="n"/>
      <c r="E248" s="11" t="n"/>
      <c r="F248" s="11" t="n"/>
      <c r="G248" s="55" t="n"/>
      <c r="H248" s="55" t="n"/>
      <c r="I248" s="55" t="n"/>
      <c r="J248" s="11" t="n"/>
      <c r="K248" s="56" t="n"/>
      <c r="L248" s="46">
        <f>K248-J248</f>
        <v/>
      </c>
      <c r="M248" s="47" t="n"/>
      <c r="N248" s="48">
        <f>IF(A248="","",COUNTIFS(上课记录!$B:$B,A248,上课记录!$J:$J,"是"))</f>
        <v/>
      </c>
      <c r="O248" s="31">
        <f>IF(A248="","",IF(F248="次卡",MAX(0,M248-N248),"—"))</f>
        <v/>
      </c>
      <c r="P248" s="31">
        <f>IF(A248="","",IF(F248="期限卡",MAX(0,I248-TODAY()),"—"))</f>
        <v/>
      </c>
      <c r="Q248" s="31">
        <f>IF(A248="","",IF(F248="次卡",IF(OR(K248="",K248=0,M248=0),"",K248/M248),IF(F248="期限卡",IF(AND(K248&lt;&gt;"",K248&lt;&gt;0,I248&gt;H248),K248/(I248-H248),""),"")))</f>
        <v/>
      </c>
      <c r="R248" s="31">
        <f>IF(A248="","",IF(F248="次卡",IF(OR(K248="",K248=0,M248=0),"",Q248*O248),IF(F248="期限卡",IF(AND(K248&lt;&gt;"",K248&lt;&gt;0,I248&gt;H248),Q248*P248,""),"")))</f>
        <v/>
      </c>
      <c r="S248" s="58">
        <f>IF(A248="","",IFERROR(_xlfn.MAXIFS(上课记录!$D:$D,上课记录!$B:$B,A248,上课记录!$J:$J,"是"),""))</f>
        <v/>
      </c>
      <c r="T248" s="31">
        <f>IF(A248="","",IF(S248="","",TODAY()-S248))</f>
        <v/>
      </c>
      <c r="U248" s="31">
        <f>IF(A248="","",IF(OR(AND(F248="次卡",O248=0),AND(F248="期限卡",P248=0)),"已到期",IF(T248&gt;=10,"沉睡客户",IF(T248&gt;=7,"预警客户","正常"))))</f>
        <v/>
      </c>
      <c r="V248" s="11" t="n"/>
      <c r="W248" s="11" t="n"/>
    </row>
    <row r="249">
      <c r="A249" s="44" t="n"/>
      <c r="B249" s="11" t="n"/>
      <c r="C249" s="11" t="n"/>
      <c r="D249" s="11" t="n"/>
      <c r="E249" s="11" t="n"/>
      <c r="F249" s="11" t="n"/>
      <c r="G249" s="55" t="n"/>
      <c r="H249" s="55" t="n"/>
      <c r="I249" s="55" t="n"/>
      <c r="J249" s="11" t="n"/>
      <c r="K249" s="56" t="n"/>
      <c r="L249" s="46">
        <f>K249-J249</f>
        <v/>
      </c>
      <c r="M249" s="47" t="n"/>
      <c r="N249" s="48">
        <f>IF(A249="","",COUNTIFS(上课记录!$B:$B,A249,上课记录!$J:$J,"是"))</f>
        <v/>
      </c>
      <c r="O249" s="31">
        <f>IF(A249="","",IF(F249="次卡",MAX(0,M249-N249),"—"))</f>
        <v/>
      </c>
      <c r="P249" s="31">
        <f>IF(A249="","",IF(F249="期限卡",MAX(0,I249-TODAY()),"—"))</f>
        <v/>
      </c>
      <c r="Q249" s="31">
        <f>IF(A249="","",IF(F249="次卡",IF(OR(K249="",K249=0,M249=0),"",K249/M249),IF(F249="期限卡",IF(AND(K249&lt;&gt;"",K249&lt;&gt;0,I249&gt;H249),K249/(I249-H249),""),"")))</f>
        <v/>
      </c>
      <c r="R249" s="31">
        <f>IF(A249="","",IF(F249="次卡",IF(OR(K249="",K249=0,M249=0),"",Q249*O249),IF(F249="期限卡",IF(AND(K249&lt;&gt;"",K249&lt;&gt;0,I249&gt;H249),Q249*P249,""),"")))</f>
        <v/>
      </c>
      <c r="S249" s="58">
        <f>IF(A249="","",IFERROR(_xlfn.MAXIFS(上课记录!$D:$D,上课记录!$B:$B,A249,上课记录!$J:$J,"是"),""))</f>
        <v/>
      </c>
      <c r="T249" s="31">
        <f>IF(A249="","",IF(S249="","",TODAY()-S249))</f>
        <v/>
      </c>
      <c r="U249" s="31">
        <f>IF(A249="","",IF(OR(AND(F249="次卡",O249=0),AND(F249="期限卡",P249=0)),"已到期",IF(T249&gt;=10,"沉睡客户",IF(T249&gt;=7,"预警客户","正常"))))</f>
        <v/>
      </c>
      <c r="V249" s="11" t="n"/>
      <c r="W249" s="11" t="n"/>
    </row>
    <row r="250">
      <c r="A250" s="44" t="n"/>
      <c r="B250" s="11" t="n"/>
      <c r="C250" s="11" t="n"/>
      <c r="D250" s="11" t="n"/>
      <c r="E250" s="11" t="n"/>
      <c r="F250" s="11" t="n"/>
      <c r="G250" s="55" t="n"/>
      <c r="H250" s="55" t="n"/>
      <c r="I250" s="55" t="n"/>
      <c r="J250" s="11" t="n"/>
      <c r="K250" s="56" t="n"/>
      <c r="L250" s="46">
        <f>K250-J250</f>
        <v/>
      </c>
      <c r="M250" s="47" t="n"/>
      <c r="N250" s="48">
        <f>IF(A250="","",COUNTIFS(上课记录!$B:$B,A250,上课记录!$J:$J,"是"))</f>
        <v/>
      </c>
      <c r="O250" s="31">
        <f>IF(A250="","",IF(F250="次卡",MAX(0,M250-N250),"—"))</f>
        <v/>
      </c>
      <c r="P250" s="31">
        <f>IF(A250="","",IF(F250="期限卡",MAX(0,I250-TODAY()),"—"))</f>
        <v/>
      </c>
      <c r="Q250" s="31">
        <f>IF(A250="","",IF(F250="次卡",IF(OR(K250="",K250=0,M250=0),"",K250/M250),IF(F250="期限卡",IF(AND(K250&lt;&gt;"",K250&lt;&gt;0,I250&gt;H250),K250/(I250-H250),""),"")))</f>
        <v/>
      </c>
      <c r="R250" s="31">
        <f>IF(A250="","",IF(F250="次卡",IF(OR(K250="",K250=0,M250=0),"",Q250*O250),IF(F250="期限卡",IF(AND(K250&lt;&gt;"",K250&lt;&gt;0,I250&gt;H250),Q250*P250,""),"")))</f>
        <v/>
      </c>
      <c r="S250" s="58">
        <f>IF(A250="","",IFERROR(_xlfn.MAXIFS(上课记录!$D:$D,上课记录!$B:$B,A250,上课记录!$J:$J,"是"),""))</f>
        <v/>
      </c>
      <c r="T250" s="31">
        <f>IF(A250="","",IF(S250="","",TODAY()-S250))</f>
        <v/>
      </c>
      <c r="U250" s="31">
        <f>IF(A250="","",IF(OR(AND(F250="次卡",O250=0),AND(F250="期限卡",P250=0)),"已到期",IF(T250&gt;=10,"沉睡客户",IF(T250&gt;=7,"预警客户","正常"))))</f>
        <v/>
      </c>
      <c r="V250" s="11" t="n"/>
      <c r="W250" s="11" t="n"/>
    </row>
    <row r="251">
      <c r="A251" s="44" t="n"/>
      <c r="B251" s="11" t="n"/>
      <c r="C251" s="11" t="n"/>
      <c r="D251" s="11" t="n"/>
      <c r="E251" s="11" t="n"/>
      <c r="F251" s="11" t="n"/>
      <c r="G251" s="55" t="n"/>
      <c r="H251" s="55" t="n"/>
      <c r="I251" s="55" t="n"/>
      <c r="J251" s="11" t="n"/>
      <c r="K251" s="56" t="n"/>
      <c r="L251" s="46">
        <f>K251-J251</f>
        <v/>
      </c>
      <c r="M251" s="47" t="n"/>
      <c r="N251" s="48">
        <f>IF(A251="","",COUNTIFS(上课记录!$B:$B,A251,上课记录!$J:$J,"是"))</f>
        <v/>
      </c>
      <c r="O251" s="31">
        <f>IF(A251="","",IF(F251="次卡",MAX(0,M251-N251),"—"))</f>
        <v/>
      </c>
      <c r="P251" s="31">
        <f>IF(A251="","",IF(F251="期限卡",MAX(0,I251-TODAY()),"—"))</f>
        <v/>
      </c>
      <c r="Q251" s="31">
        <f>IF(A251="","",IF(F251="次卡",IF(OR(K251="",K251=0,M251=0),"",K251/M251),IF(F251="期限卡",IF(AND(K251&lt;&gt;"",K251&lt;&gt;0,I251&gt;H251),K251/(I251-H251),""),"")))</f>
        <v/>
      </c>
      <c r="R251" s="31">
        <f>IF(A251="","",IF(F251="次卡",IF(OR(K251="",K251=0,M251=0),"",Q251*O251),IF(F251="期限卡",IF(AND(K251&lt;&gt;"",K251&lt;&gt;0,I251&gt;H251),Q251*P251,""),"")))</f>
        <v/>
      </c>
      <c r="S251" s="58">
        <f>IF(A251="","",IFERROR(_xlfn.MAXIFS(上课记录!$D:$D,上课记录!$B:$B,A251,上课记录!$J:$J,"是"),""))</f>
        <v/>
      </c>
      <c r="T251" s="31">
        <f>IF(A251="","",IF(S251="","",TODAY()-S251))</f>
        <v/>
      </c>
      <c r="U251" s="31">
        <f>IF(A251="","",IF(OR(AND(F251="次卡",O251=0),AND(F251="期限卡",P251=0)),"已到期",IF(T251&gt;=10,"沉睡客户",IF(T251&gt;=7,"预警客户","正常"))))</f>
        <v/>
      </c>
      <c r="V251" s="11" t="n"/>
      <c r="W251" s="11" t="n"/>
    </row>
    <row r="252">
      <c r="A252" s="44" t="n"/>
      <c r="B252" s="11" t="n"/>
      <c r="C252" s="11" t="n"/>
      <c r="D252" s="11" t="n"/>
      <c r="E252" s="11" t="n"/>
      <c r="F252" s="11" t="n"/>
      <c r="G252" s="55" t="n"/>
      <c r="H252" s="55" t="n"/>
      <c r="I252" s="55" t="n"/>
      <c r="J252" s="11" t="n"/>
      <c r="K252" s="56" t="n"/>
      <c r="L252" s="46">
        <f>K252-J252</f>
        <v/>
      </c>
      <c r="M252" s="47" t="n"/>
      <c r="N252" s="48">
        <f>IF(A252="","",COUNTIFS(上课记录!$B:$B,A252,上课记录!$J:$J,"是"))</f>
        <v/>
      </c>
      <c r="O252" s="31">
        <f>IF(A252="","",IF(F252="次卡",MAX(0,M252-N252),"—"))</f>
        <v/>
      </c>
      <c r="P252" s="31">
        <f>IF(A252="","",IF(F252="期限卡",MAX(0,I252-TODAY()),"—"))</f>
        <v/>
      </c>
      <c r="Q252" s="31">
        <f>IF(A252="","",IF(F252="次卡",IF(OR(K252="",K252=0,M252=0),"",K252/M252),IF(F252="期限卡",IF(AND(K252&lt;&gt;"",K252&lt;&gt;0,I252&gt;H252),K252/(I252-H252),""),"")))</f>
        <v/>
      </c>
      <c r="R252" s="31">
        <f>IF(A252="","",IF(F252="次卡",IF(OR(K252="",K252=0,M252=0),"",Q252*O252),IF(F252="期限卡",IF(AND(K252&lt;&gt;"",K252&lt;&gt;0,I252&gt;H252),Q252*P252,""),"")))</f>
        <v/>
      </c>
      <c r="S252" s="58">
        <f>IF(A252="","",IFERROR(_xlfn.MAXIFS(上课记录!$D:$D,上课记录!$B:$B,A252,上课记录!$J:$J,"是"),""))</f>
        <v/>
      </c>
      <c r="T252" s="31">
        <f>IF(A252="","",IF(S252="","",TODAY()-S252))</f>
        <v/>
      </c>
      <c r="U252" s="31">
        <f>IF(A252="","",IF(OR(AND(F252="次卡",O252=0),AND(F252="期限卡",P252=0)),"已到期",IF(T252&gt;=10,"沉睡客户",IF(T252&gt;=7,"预警客户","正常"))))</f>
        <v/>
      </c>
      <c r="V252" s="11" t="n"/>
      <c r="W252" s="11" t="n"/>
    </row>
    <row r="253">
      <c r="A253" s="44" t="n"/>
      <c r="B253" s="11" t="n"/>
      <c r="C253" s="11" t="n"/>
      <c r="D253" s="11" t="n"/>
      <c r="E253" s="11" t="n"/>
      <c r="F253" s="11" t="n"/>
      <c r="G253" s="55" t="n"/>
      <c r="H253" s="55" t="n"/>
      <c r="I253" s="55" t="n"/>
      <c r="J253" s="11" t="n"/>
      <c r="K253" s="56" t="n"/>
      <c r="L253" s="46">
        <f>K253-J253</f>
        <v/>
      </c>
      <c r="M253" s="47" t="n"/>
      <c r="N253" s="48">
        <f>IF(A253="","",COUNTIFS(上课记录!$B:$B,A253,上课记录!$J:$J,"是"))</f>
        <v/>
      </c>
      <c r="O253" s="31">
        <f>IF(A253="","",IF(F253="次卡",MAX(0,M253-N253),"—"))</f>
        <v/>
      </c>
      <c r="P253" s="31">
        <f>IF(A253="","",IF(F253="期限卡",MAX(0,I253-TODAY()),"—"))</f>
        <v/>
      </c>
      <c r="Q253" s="31">
        <f>IF(A253="","",IF(F253="次卡",IF(OR(K253="",K253=0,M253=0),"",K253/M253),IF(F253="期限卡",IF(AND(K253&lt;&gt;"",K253&lt;&gt;0,I253&gt;H253),K253/(I253-H253),""),"")))</f>
        <v/>
      </c>
      <c r="R253" s="31">
        <f>IF(A253="","",IF(F253="次卡",IF(OR(K253="",K253=0,M253=0),"",Q253*O253),IF(F253="期限卡",IF(AND(K253&lt;&gt;"",K253&lt;&gt;0,I253&gt;H253),Q253*P253,""),"")))</f>
        <v/>
      </c>
      <c r="S253" s="58">
        <f>IF(A253="","",IFERROR(_xlfn.MAXIFS(上课记录!$D:$D,上课记录!$B:$B,A253,上课记录!$J:$J,"是"),""))</f>
        <v/>
      </c>
      <c r="T253" s="31">
        <f>IF(A253="","",IF(S253="","",TODAY()-S253))</f>
        <v/>
      </c>
      <c r="U253" s="31">
        <f>IF(A253="","",IF(OR(AND(F253="次卡",O253=0),AND(F253="期限卡",P253=0)),"已到期",IF(T253&gt;=10,"沉睡客户",IF(T253&gt;=7,"预警客户","正常"))))</f>
        <v/>
      </c>
      <c r="V253" s="11" t="n"/>
      <c r="W253" s="11" t="n"/>
    </row>
    <row r="254">
      <c r="A254" s="44" t="n"/>
      <c r="B254" s="11" t="n"/>
      <c r="C254" s="11" t="n"/>
      <c r="D254" s="11" t="n"/>
      <c r="E254" s="11" t="n"/>
      <c r="F254" s="11" t="n"/>
      <c r="G254" s="55" t="n"/>
      <c r="H254" s="55" t="n"/>
      <c r="I254" s="55" t="n"/>
      <c r="J254" s="11" t="n"/>
      <c r="K254" s="56" t="n"/>
      <c r="L254" s="46">
        <f>K254-J254</f>
        <v/>
      </c>
      <c r="M254" s="47" t="n"/>
      <c r="N254" s="48">
        <f>IF(A254="","",COUNTIFS(上课记录!$B:$B,A254,上课记录!$J:$J,"是"))</f>
        <v/>
      </c>
      <c r="O254" s="31">
        <f>IF(A254="","",IF(F254="次卡",MAX(0,M254-N254),"—"))</f>
        <v/>
      </c>
      <c r="P254" s="31">
        <f>IF(A254="","",IF(F254="期限卡",MAX(0,I254-TODAY()),"—"))</f>
        <v/>
      </c>
      <c r="Q254" s="31">
        <f>IF(A254="","",IF(F254="次卡",IF(OR(K254="",K254=0,M254=0),"",K254/M254),IF(F254="期限卡",IF(AND(K254&lt;&gt;"",K254&lt;&gt;0,I254&gt;H254),K254/(I254-H254),""),"")))</f>
        <v/>
      </c>
      <c r="R254" s="31">
        <f>IF(A254="","",IF(F254="次卡",IF(OR(K254="",K254=0,M254=0),"",Q254*O254),IF(F254="期限卡",IF(AND(K254&lt;&gt;"",K254&lt;&gt;0,I254&gt;H254),Q254*P254,""),"")))</f>
        <v/>
      </c>
      <c r="S254" s="58">
        <f>IF(A254="","",IFERROR(_xlfn.MAXIFS(上课记录!$D:$D,上课记录!$B:$B,A254,上课记录!$J:$J,"是"),""))</f>
        <v/>
      </c>
      <c r="T254" s="31">
        <f>IF(A254="","",IF(S254="","",TODAY()-S254))</f>
        <v/>
      </c>
      <c r="U254" s="31">
        <f>IF(A254="","",IF(OR(AND(F254="次卡",O254=0),AND(F254="期限卡",P254=0)),"已到期",IF(T254&gt;=10,"沉睡客户",IF(T254&gt;=7,"预警客户","正常"))))</f>
        <v/>
      </c>
      <c r="V254" s="11" t="n"/>
      <c r="W254" s="11" t="n"/>
    </row>
    <row r="255">
      <c r="A255" s="44" t="n"/>
      <c r="B255" s="11" t="n"/>
      <c r="C255" s="11" t="n"/>
      <c r="D255" s="11" t="n"/>
      <c r="E255" s="11" t="n"/>
      <c r="F255" s="11" t="n"/>
      <c r="G255" s="55" t="n"/>
      <c r="H255" s="55" t="n"/>
      <c r="I255" s="55" t="n"/>
      <c r="J255" s="11" t="n"/>
      <c r="K255" s="56" t="n"/>
      <c r="L255" s="46">
        <f>K255-J255</f>
        <v/>
      </c>
      <c r="M255" s="47" t="n"/>
      <c r="N255" s="48">
        <f>IF(A255="","",COUNTIFS(上课记录!$B:$B,A255,上课记录!$J:$J,"是"))</f>
        <v/>
      </c>
      <c r="O255" s="31">
        <f>IF(A255="","",IF(F255="次卡",MAX(0,M255-N255),"—"))</f>
        <v/>
      </c>
      <c r="P255" s="31">
        <f>IF(A255="","",IF(F255="期限卡",MAX(0,I255-TODAY()),"—"))</f>
        <v/>
      </c>
      <c r="Q255" s="31">
        <f>IF(A255="","",IF(F255="次卡",IF(OR(K255="",K255=0,M255=0),"",K255/M255),IF(F255="期限卡",IF(AND(K255&lt;&gt;"",K255&lt;&gt;0,I255&gt;H255),K255/(I255-H255),""),"")))</f>
        <v/>
      </c>
      <c r="R255" s="31">
        <f>IF(A255="","",IF(F255="次卡",IF(OR(K255="",K255=0,M255=0),"",Q255*O255),IF(F255="期限卡",IF(AND(K255&lt;&gt;"",K255&lt;&gt;0,I255&gt;H255),Q255*P255,""),"")))</f>
        <v/>
      </c>
      <c r="S255" s="58">
        <f>IF(A255="","",IFERROR(_xlfn.MAXIFS(上课记录!$D:$D,上课记录!$B:$B,A255,上课记录!$J:$J,"是"),""))</f>
        <v/>
      </c>
      <c r="T255" s="31">
        <f>IF(A255="","",IF(S255="","",TODAY()-S255))</f>
        <v/>
      </c>
      <c r="U255" s="31">
        <f>IF(A255="","",IF(OR(AND(F255="次卡",O255=0),AND(F255="期限卡",P255=0)),"已到期",IF(T255&gt;=10,"沉睡客户",IF(T255&gt;=7,"预警客户","正常"))))</f>
        <v/>
      </c>
      <c r="V255" s="11" t="n"/>
      <c r="W255" s="11" t="n"/>
    </row>
    <row r="256">
      <c r="A256" s="44" t="n"/>
      <c r="B256" s="11" t="n"/>
      <c r="C256" s="11" t="n"/>
      <c r="D256" s="11" t="n"/>
      <c r="E256" s="11" t="n"/>
      <c r="F256" s="11" t="n"/>
      <c r="G256" s="55" t="n"/>
      <c r="H256" s="55" t="n"/>
      <c r="I256" s="55" t="n"/>
      <c r="J256" s="11" t="n"/>
      <c r="K256" s="56" t="n"/>
      <c r="L256" s="46">
        <f>K256-J256</f>
        <v/>
      </c>
      <c r="M256" s="47" t="n"/>
      <c r="N256" s="48">
        <f>IF(A256="","",COUNTIFS(上课记录!$B:$B,A256,上课记录!$J:$J,"是"))</f>
        <v/>
      </c>
      <c r="O256" s="31">
        <f>IF(A256="","",IF(F256="次卡",MAX(0,M256-N256),"—"))</f>
        <v/>
      </c>
      <c r="P256" s="31">
        <f>IF(A256="","",IF(F256="期限卡",MAX(0,I256-TODAY()),"—"))</f>
        <v/>
      </c>
      <c r="Q256" s="31">
        <f>IF(A256="","",IF(F256="次卡",IF(OR(K256="",K256=0,M256=0),"",K256/M256),IF(F256="期限卡",IF(AND(K256&lt;&gt;"",K256&lt;&gt;0,I256&gt;H256),K256/(I256-H256),""),"")))</f>
        <v/>
      </c>
      <c r="R256" s="31">
        <f>IF(A256="","",IF(F256="次卡",IF(OR(K256="",K256=0,M256=0),"",Q256*O256),IF(F256="期限卡",IF(AND(K256&lt;&gt;"",K256&lt;&gt;0,I256&gt;H256),Q256*P256,""),"")))</f>
        <v/>
      </c>
      <c r="S256" s="58">
        <f>IF(A256="","",IFERROR(_xlfn.MAXIFS(上课记录!$D:$D,上课记录!$B:$B,A256,上课记录!$J:$J,"是"),""))</f>
        <v/>
      </c>
      <c r="T256" s="31">
        <f>IF(A256="","",IF(S256="","",TODAY()-S256))</f>
        <v/>
      </c>
      <c r="U256" s="31">
        <f>IF(A256="","",IF(OR(AND(F256="次卡",O256=0),AND(F256="期限卡",P256=0)),"已到期",IF(T256&gt;=10,"沉睡客户",IF(T256&gt;=7,"预警客户","正常"))))</f>
        <v/>
      </c>
      <c r="V256" s="11" t="n"/>
      <c r="W256" s="11" t="n"/>
    </row>
    <row r="257">
      <c r="A257" s="44" t="n"/>
      <c r="B257" s="11" t="n"/>
      <c r="C257" s="11" t="n"/>
      <c r="D257" s="11" t="n"/>
      <c r="E257" s="11" t="n"/>
      <c r="F257" s="11" t="n"/>
      <c r="G257" s="55" t="n"/>
      <c r="H257" s="55" t="n"/>
      <c r="I257" s="55" t="n"/>
      <c r="J257" s="11" t="n"/>
      <c r="K257" s="56" t="n"/>
      <c r="L257" s="46">
        <f>K257-J257</f>
        <v/>
      </c>
      <c r="M257" s="47" t="n"/>
      <c r="N257" s="48">
        <f>IF(A257="","",COUNTIFS(上课记录!$B:$B,A257,上课记录!$J:$J,"是"))</f>
        <v/>
      </c>
      <c r="O257" s="31">
        <f>IF(A257="","",IF(F257="次卡",MAX(0,M257-N257),"—"))</f>
        <v/>
      </c>
      <c r="P257" s="31">
        <f>IF(A257="","",IF(F257="期限卡",MAX(0,I257-TODAY()),"—"))</f>
        <v/>
      </c>
      <c r="Q257" s="31">
        <f>IF(A257="","",IF(F257="次卡",IF(OR(K257="",K257=0,M257=0),"",K257/M257),IF(F257="期限卡",IF(AND(K257&lt;&gt;"",K257&lt;&gt;0,I257&gt;H257),K257/(I257-H257),""),"")))</f>
        <v/>
      </c>
      <c r="R257" s="31">
        <f>IF(A257="","",IF(F257="次卡",IF(OR(K257="",K257=0,M257=0),"",Q257*O257),IF(F257="期限卡",IF(AND(K257&lt;&gt;"",K257&lt;&gt;0,I257&gt;H257),Q257*P257,""),"")))</f>
        <v/>
      </c>
      <c r="S257" s="58">
        <f>IF(A257="","",IFERROR(_xlfn.MAXIFS(上课记录!$D:$D,上课记录!$B:$B,A257,上课记录!$J:$J,"是"),""))</f>
        <v/>
      </c>
      <c r="T257" s="31">
        <f>IF(A257="","",IF(S257="","",TODAY()-S257))</f>
        <v/>
      </c>
      <c r="U257" s="31">
        <f>IF(A257="","",IF(OR(AND(F257="次卡",O257=0),AND(F257="期限卡",P257=0)),"已到期",IF(T257&gt;=10,"沉睡客户",IF(T257&gt;=7,"预警客户","正常"))))</f>
        <v/>
      </c>
      <c r="V257" s="11" t="n"/>
      <c r="W257" s="11" t="n"/>
    </row>
    <row r="258">
      <c r="A258" s="44" t="n"/>
      <c r="B258" s="11" t="n"/>
      <c r="C258" s="11" t="n"/>
      <c r="D258" s="11" t="n"/>
      <c r="E258" s="11" t="n"/>
      <c r="F258" s="11" t="n"/>
      <c r="G258" s="55" t="n"/>
      <c r="H258" s="55" t="n"/>
      <c r="I258" s="55" t="n"/>
      <c r="J258" s="11" t="n"/>
      <c r="K258" s="56" t="n"/>
      <c r="L258" s="46">
        <f>K258-J258</f>
        <v/>
      </c>
      <c r="M258" s="47" t="n"/>
      <c r="N258" s="48">
        <f>IF(A258="","",COUNTIFS(上课记录!$B:$B,A258,上课记录!$J:$J,"是"))</f>
        <v/>
      </c>
      <c r="O258" s="31">
        <f>IF(A258="","",IF(F258="次卡",MAX(0,M258-N258),"—"))</f>
        <v/>
      </c>
      <c r="P258" s="31">
        <f>IF(A258="","",IF(F258="期限卡",MAX(0,I258-TODAY()),"—"))</f>
        <v/>
      </c>
      <c r="Q258" s="31">
        <f>IF(A258="","",IF(F258="次卡",IF(OR(K258="",K258=0,M258=0),"",K258/M258),IF(F258="期限卡",IF(AND(K258&lt;&gt;"",K258&lt;&gt;0,I258&gt;H258),K258/(I258-H258),""),"")))</f>
        <v/>
      </c>
      <c r="R258" s="31">
        <f>IF(A258="","",IF(F258="次卡",IF(OR(K258="",K258=0,M258=0),"",Q258*O258),IF(F258="期限卡",IF(AND(K258&lt;&gt;"",K258&lt;&gt;0,I258&gt;H258),Q258*P258,""),"")))</f>
        <v/>
      </c>
      <c r="S258" s="58">
        <f>IF(A258="","",IFERROR(_xlfn.MAXIFS(上课记录!$D:$D,上课记录!$B:$B,A258,上课记录!$J:$J,"是"),""))</f>
        <v/>
      </c>
      <c r="T258" s="31">
        <f>IF(A258="","",IF(S258="","",TODAY()-S258))</f>
        <v/>
      </c>
      <c r="U258" s="31">
        <f>IF(A258="","",IF(OR(AND(F258="次卡",O258=0),AND(F258="期限卡",P258=0)),"已到期",IF(T258&gt;=10,"沉睡客户",IF(T258&gt;=7,"预警客户","正常"))))</f>
        <v/>
      </c>
      <c r="V258" s="11" t="n"/>
      <c r="W258" s="11" t="n"/>
    </row>
    <row r="259">
      <c r="A259" s="44" t="n"/>
      <c r="B259" s="11" t="n"/>
      <c r="C259" s="11" t="n"/>
      <c r="D259" s="11" t="n"/>
      <c r="E259" s="11" t="n"/>
      <c r="F259" s="11" t="n"/>
      <c r="G259" s="55" t="n"/>
      <c r="H259" s="55" t="n"/>
      <c r="I259" s="55" t="n"/>
      <c r="J259" s="11" t="n"/>
      <c r="K259" s="56" t="n"/>
      <c r="L259" s="46">
        <f>K259-J259</f>
        <v/>
      </c>
      <c r="M259" s="47" t="n"/>
      <c r="N259" s="48">
        <f>IF(A259="","",COUNTIFS(上课记录!$B:$B,A259,上课记录!$J:$J,"是"))</f>
        <v/>
      </c>
      <c r="O259" s="31">
        <f>IF(A259="","",IF(F259="次卡",MAX(0,M259-N259),"—"))</f>
        <v/>
      </c>
      <c r="P259" s="31">
        <f>IF(A259="","",IF(F259="期限卡",MAX(0,I259-TODAY()),"—"))</f>
        <v/>
      </c>
      <c r="Q259" s="31">
        <f>IF(A259="","",IF(F259="次卡",IF(OR(K259="",K259=0,M259=0),"",K259/M259),IF(F259="期限卡",IF(AND(K259&lt;&gt;"",K259&lt;&gt;0,I259&gt;H259),K259/(I259-H259),""),"")))</f>
        <v/>
      </c>
      <c r="R259" s="31">
        <f>IF(A259="","",IF(F259="次卡",IF(OR(K259="",K259=0,M259=0),"",Q259*O259),IF(F259="期限卡",IF(AND(K259&lt;&gt;"",K259&lt;&gt;0,I259&gt;H259),Q259*P259,""),"")))</f>
        <v/>
      </c>
      <c r="S259" s="58">
        <f>IF(A259="","",IFERROR(_xlfn.MAXIFS(上课记录!$D:$D,上课记录!$B:$B,A259,上课记录!$J:$J,"是"),""))</f>
        <v/>
      </c>
      <c r="T259" s="31">
        <f>IF(A259="","",IF(S259="","",TODAY()-S259))</f>
        <v/>
      </c>
      <c r="U259" s="31">
        <f>IF(A259="","",IF(OR(AND(F259="次卡",O259=0),AND(F259="期限卡",P259=0)),"已到期",IF(T259&gt;=10,"沉睡客户",IF(T259&gt;=7,"预警客户","正常"))))</f>
        <v/>
      </c>
      <c r="V259" s="11" t="n"/>
      <c r="W259" s="11" t="n"/>
    </row>
    <row r="260">
      <c r="A260" s="44" t="n"/>
      <c r="B260" s="11" t="n"/>
      <c r="C260" s="11" t="n"/>
      <c r="D260" s="11" t="n"/>
      <c r="E260" s="11" t="n"/>
      <c r="F260" s="11" t="n"/>
      <c r="G260" s="55" t="n"/>
      <c r="H260" s="55" t="n"/>
      <c r="I260" s="55" t="n"/>
      <c r="J260" s="11" t="n"/>
      <c r="K260" s="56" t="n"/>
      <c r="L260" s="46">
        <f>K260-J260</f>
        <v/>
      </c>
      <c r="M260" s="47" t="n"/>
      <c r="N260" s="48">
        <f>IF(A260="","",COUNTIFS(上课记录!$B:$B,A260,上课记录!$J:$J,"是"))</f>
        <v/>
      </c>
      <c r="O260" s="31">
        <f>IF(A260="","",IF(F260="次卡",MAX(0,M260-N260),"—"))</f>
        <v/>
      </c>
      <c r="P260" s="31">
        <f>IF(A260="","",IF(F260="期限卡",MAX(0,I260-TODAY()),"—"))</f>
        <v/>
      </c>
      <c r="Q260" s="31">
        <f>IF(A260="","",IF(F260="次卡",IF(OR(K260="",K260=0,M260=0),"",K260/M260),IF(F260="期限卡",IF(AND(K260&lt;&gt;"",K260&lt;&gt;0,I260&gt;H260),K260/(I260-H260),""),"")))</f>
        <v/>
      </c>
      <c r="R260" s="31">
        <f>IF(A260="","",IF(F260="次卡",IF(OR(K260="",K260=0,M260=0),"",Q260*O260),IF(F260="期限卡",IF(AND(K260&lt;&gt;"",K260&lt;&gt;0,I260&gt;H260),Q260*P260,""),"")))</f>
        <v/>
      </c>
      <c r="S260" s="58">
        <f>IF(A260="","",IFERROR(_xlfn.MAXIFS(上课记录!$D:$D,上课记录!$B:$B,A260,上课记录!$J:$J,"是"),""))</f>
        <v/>
      </c>
      <c r="T260" s="31">
        <f>IF(A260="","",IF(S260="","",TODAY()-S260))</f>
        <v/>
      </c>
      <c r="U260" s="31">
        <f>IF(A260="","",IF(OR(AND(F260="次卡",O260=0),AND(F260="期限卡",P260=0)),"已到期",IF(T260&gt;=10,"沉睡客户",IF(T260&gt;=7,"预警客户","正常"))))</f>
        <v/>
      </c>
      <c r="V260" s="11" t="n"/>
      <c r="W260" s="11" t="n"/>
    </row>
    <row r="261">
      <c r="A261" s="44" t="n"/>
      <c r="B261" s="11" t="n"/>
      <c r="C261" s="11" t="n"/>
      <c r="D261" s="11" t="n"/>
      <c r="E261" s="11" t="n"/>
      <c r="F261" s="11" t="n"/>
      <c r="G261" s="55" t="n"/>
      <c r="H261" s="55" t="n"/>
      <c r="I261" s="55" t="n"/>
      <c r="J261" s="11" t="n"/>
      <c r="K261" s="56" t="n"/>
      <c r="L261" s="46">
        <f>K261-J261</f>
        <v/>
      </c>
      <c r="M261" s="47" t="n"/>
      <c r="N261" s="48">
        <f>IF(A261="","",COUNTIFS(上课记录!$B:$B,A261,上课记录!$J:$J,"是"))</f>
        <v/>
      </c>
      <c r="O261" s="31">
        <f>IF(A261="","",IF(F261="次卡",MAX(0,M261-N261),"—"))</f>
        <v/>
      </c>
      <c r="P261" s="31">
        <f>IF(A261="","",IF(F261="期限卡",MAX(0,I261-TODAY()),"—"))</f>
        <v/>
      </c>
      <c r="Q261" s="31">
        <f>IF(A261="","",IF(F261="次卡",IF(OR(K261="",K261=0,M261=0),"",K261/M261),IF(F261="期限卡",IF(AND(K261&lt;&gt;"",K261&lt;&gt;0,I261&gt;H261),K261/(I261-H261),""),"")))</f>
        <v/>
      </c>
      <c r="R261" s="31">
        <f>IF(A261="","",IF(F261="次卡",IF(OR(K261="",K261=0,M261=0),"",Q261*O261),IF(F261="期限卡",IF(AND(K261&lt;&gt;"",K261&lt;&gt;0,I261&gt;H261),Q261*P261,""),"")))</f>
        <v/>
      </c>
      <c r="S261" s="58">
        <f>IF(A261="","",IFERROR(_xlfn.MAXIFS(上课记录!$D:$D,上课记录!$B:$B,A261,上课记录!$J:$J,"是"),""))</f>
        <v/>
      </c>
      <c r="T261" s="31">
        <f>IF(A261="","",IF(S261="","",TODAY()-S261))</f>
        <v/>
      </c>
      <c r="U261" s="31">
        <f>IF(A261="","",IF(OR(AND(F261="次卡",O261=0),AND(F261="期限卡",P261=0)),"已到期",IF(T261&gt;=10,"沉睡客户",IF(T261&gt;=7,"预警客户","正常"))))</f>
        <v/>
      </c>
      <c r="V261" s="11" t="n"/>
      <c r="W261" s="11" t="n"/>
    </row>
    <row r="262">
      <c r="A262" s="44" t="n"/>
      <c r="B262" s="11" t="n"/>
      <c r="C262" s="11" t="n"/>
      <c r="D262" s="11" t="n"/>
      <c r="E262" s="11" t="n"/>
      <c r="F262" s="11" t="n"/>
      <c r="G262" s="55" t="n"/>
      <c r="H262" s="55" t="n"/>
      <c r="I262" s="55" t="n"/>
      <c r="J262" s="11" t="n"/>
      <c r="K262" s="56" t="n"/>
      <c r="L262" s="46">
        <f>K262-J262</f>
        <v/>
      </c>
      <c r="M262" s="47" t="n"/>
      <c r="N262" s="48">
        <f>IF(A262="","",COUNTIFS(上课记录!$B:$B,A262,上课记录!$J:$J,"是"))</f>
        <v/>
      </c>
      <c r="O262" s="31">
        <f>IF(A262="","",IF(F262="次卡",MAX(0,M262-N262),"—"))</f>
        <v/>
      </c>
      <c r="P262" s="31">
        <f>IF(A262="","",IF(F262="期限卡",MAX(0,I262-TODAY()),"—"))</f>
        <v/>
      </c>
      <c r="Q262" s="31">
        <f>IF(A262="","",IF(F262="次卡",IF(OR(K262="",K262=0,M262=0),"",K262/M262),IF(F262="期限卡",IF(AND(K262&lt;&gt;"",K262&lt;&gt;0,I262&gt;H262),K262/(I262-H262),""),"")))</f>
        <v/>
      </c>
      <c r="R262" s="31">
        <f>IF(A262="","",IF(F262="次卡",IF(OR(K262="",K262=0,M262=0),"",Q262*O262),IF(F262="期限卡",IF(AND(K262&lt;&gt;"",K262&lt;&gt;0,I262&gt;H262),Q262*P262,""),"")))</f>
        <v/>
      </c>
      <c r="S262" s="58">
        <f>IF(A262="","",IFERROR(_xlfn.MAXIFS(上课记录!$D:$D,上课记录!$B:$B,A262,上课记录!$J:$J,"是"),""))</f>
        <v/>
      </c>
      <c r="T262" s="31">
        <f>IF(A262="","",IF(S262="","",TODAY()-S262))</f>
        <v/>
      </c>
      <c r="U262" s="31">
        <f>IF(A262="","",IF(OR(AND(F262="次卡",O262=0),AND(F262="期限卡",P262=0)),"已到期",IF(T262&gt;=10,"沉睡客户",IF(T262&gt;=7,"预警客户","正常"))))</f>
        <v/>
      </c>
      <c r="V262" s="11" t="n"/>
      <c r="W262" s="11" t="n"/>
    </row>
    <row r="263">
      <c r="A263" s="44" t="n"/>
      <c r="B263" s="11" t="n"/>
      <c r="C263" s="11" t="n"/>
      <c r="D263" s="11" t="n"/>
      <c r="E263" s="11" t="n"/>
      <c r="F263" s="11" t="n"/>
      <c r="G263" s="55" t="n"/>
      <c r="H263" s="55" t="n"/>
      <c r="I263" s="55" t="n"/>
      <c r="J263" s="11" t="n"/>
      <c r="K263" s="56" t="n"/>
      <c r="L263" s="46">
        <f>K263-J263</f>
        <v/>
      </c>
      <c r="M263" s="47" t="n"/>
      <c r="N263" s="48">
        <f>IF(A263="","",COUNTIFS(上课记录!$B:$B,A263,上课记录!$J:$J,"是"))</f>
        <v/>
      </c>
      <c r="O263" s="31">
        <f>IF(A263="","",IF(F263="次卡",MAX(0,M263-N263),"—"))</f>
        <v/>
      </c>
      <c r="P263" s="31">
        <f>IF(A263="","",IF(F263="期限卡",MAX(0,I263-TODAY()),"—"))</f>
        <v/>
      </c>
      <c r="Q263" s="31">
        <f>IF(A263="","",IF(F263="次卡",IF(OR(K263="",K263=0,M263=0),"",K263/M263),IF(F263="期限卡",IF(AND(K263&lt;&gt;"",K263&lt;&gt;0,I263&gt;H263),K263/(I263-H263),""),"")))</f>
        <v/>
      </c>
      <c r="R263" s="31">
        <f>IF(A263="","",IF(F263="次卡",IF(OR(K263="",K263=0,M263=0),"",Q263*O263),IF(F263="期限卡",IF(AND(K263&lt;&gt;"",K263&lt;&gt;0,I263&gt;H263),Q263*P263,""),"")))</f>
        <v/>
      </c>
      <c r="S263" s="58">
        <f>IF(A263="","",IFERROR(_xlfn.MAXIFS(上课记录!$D:$D,上课记录!$B:$B,A263,上课记录!$J:$J,"是"),""))</f>
        <v/>
      </c>
      <c r="T263" s="31">
        <f>IF(A263="","",IF(S263="","",TODAY()-S263))</f>
        <v/>
      </c>
      <c r="U263" s="31">
        <f>IF(A263="","",IF(OR(AND(F263="次卡",O263=0),AND(F263="期限卡",P263=0)),"已到期",IF(T263&gt;=10,"沉睡客户",IF(T263&gt;=7,"预警客户","正常"))))</f>
        <v/>
      </c>
      <c r="V263" s="11" t="n"/>
      <c r="W263" s="11" t="n"/>
    </row>
    <row r="264">
      <c r="A264" s="44" t="n"/>
      <c r="B264" s="11" t="n"/>
      <c r="C264" s="11" t="n"/>
      <c r="D264" s="11" t="n"/>
      <c r="E264" s="11" t="n"/>
      <c r="F264" s="11" t="n"/>
      <c r="G264" s="55" t="n"/>
      <c r="H264" s="55" t="n"/>
      <c r="I264" s="55" t="n"/>
      <c r="J264" s="11" t="n"/>
      <c r="K264" s="56" t="n"/>
      <c r="L264" s="46">
        <f>K264-J264</f>
        <v/>
      </c>
      <c r="M264" s="47" t="n"/>
      <c r="N264" s="48">
        <f>IF(A264="","",COUNTIFS(上课记录!$B:$B,A264,上课记录!$J:$J,"是"))</f>
        <v/>
      </c>
      <c r="O264" s="31">
        <f>IF(A264="","",IF(F264="次卡",MAX(0,M264-N264),"—"))</f>
        <v/>
      </c>
      <c r="P264" s="31">
        <f>IF(A264="","",IF(F264="期限卡",MAX(0,I264-TODAY()),"—"))</f>
        <v/>
      </c>
      <c r="Q264" s="31">
        <f>IF(A264="","",IF(F264="次卡",IF(OR(K264="",K264=0,M264=0),"",K264/M264),IF(F264="期限卡",IF(AND(K264&lt;&gt;"",K264&lt;&gt;0,I264&gt;H264),K264/(I264-H264),""),"")))</f>
        <v/>
      </c>
      <c r="R264" s="31">
        <f>IF(A264="","",IF(F264="次卡",IF(OR(K264="",K264=0,M264=0),"",Q264*O264),IF(F264="期限卡",IF(AND(K264&lt;&gt;"",K264&lt;&gt;0,I264&gt;H264),Q264*P264,""),"")))</f>
        <v/>
      </c>
      <c r="S264" s="58">
        <f>IF(A264="","",IFERROR(_xlfn.MAXIFS(上课记录!$D:$D,上课记录!$B:$B,A264,上课记录!$J:$J,"是"),""))</f>
        <v/>
      </c>
      <c r="T264" s="31">
        <f>IF(A264="","",IF(S264="","",TODAY()-S264))</f>
        <v/>
      </c>
      <c r="U264" s="31">
        <f>IF(A264="","",IF(OR(AND(F264="次卡",O264=0),AND(F264="期限卡",P264=0)),"已到期",IF(T264&gt;=10,"沉睡客户",IF(T264&gt;=7,"预警客户","正常"))))</f>
        <v/>
      </c>
      <c r="V264" s="11" t="n"/>
      <c r="W264" s="11" t="n"/>
    </row>
    <row r="265">
      <c r="A265" s="44" t="n"/>
      <c r="B265" s="11" t="n"/>
      <c r="C265" s="11" t="n"/>
      <c r="D265" s="11" t="n"/>
      <c r="E265" s="11" t="n"/>
      <c r="F265" s="11" t="n"/>
      <c r="G265" s="55" t="n"/>
      <c r="H265" s="55" t="n"/>
      <c r="I265" s="55" t="n"/>
      <c r="J265" s="11" t="n"/>
      <c r="K265" s="56" t="n"/>
      <c r="L265" s="46">
        <f>K265-J265</f>
        <v/>
      </c>
      <c r="M265" s="47" t="n"/>
      <c r="N265" s="48">
        <f>IF(A265="","",COUNTIFS(上课记录!$B:$B,A265,上课记录!$J:$J,"是"))</f>
        <v/>
      </c>
      <c r="O265" s="31">
        <f>IF(A265="","",IF(F265="次卡",MAX(0,M265-N265),"—"))</f>
        <v/>
      </c>
      <c r="P265" s="31">
        <f>IF(A265="","",IF(F265="期限卡",MAX(0,I265-TODAY()),"—"))</f>
        <v/>
      </c>
      <c r="Q265" s="31">
        <f>IF(A265="","",IF(F265="次卡",IF(OR(K265="",K265=0,M265=0),"",K265/M265),IF(F265="期限卡",IF(AND(K265&lt;&gt;"",K265&lt;&gt;0,I265&gt;H265),K265/(I265-H265),""),"")))</f>
        <v/>
      </c>
      <c r="R265" s="31">
        <f>IF(A265="","",IF(F265="次卡",IF(OR(K265="",K265=0,M265=0),"",Q265*O265),IF(F265="期限卡",IF(AND(K265&lt;&gt;"",K265&lt;&gt;0,I265&gt;H265),Q265*P265,""),"")))</f>
        <v/>
      </c>
      <c r="S265" s="58">
        <f>IF(A265="","",IFERROR(_xlfn.MAXIFS(上课记录!$D:$D,上课记录!$B:$B,A265,上课记录!$J:$J,"是"),""))</f>
        <v/>
      </c>
      <c r="T265" s="31">
        <f>IF(A265="","",IF(S265="","",TODAY()-S265))</f>
        <v/>
      </c>
      <c r="U265" s="31">
        <f>IF(A265="","",IF(OR(AND(F265="次卡",O265=0),AND(F265="期限卡",P265=0)),"已到期",IF(T265&gt;=10,"沉睡客户",IF(T265&gt;=7,"预警客户","正常"))))</f>
        <v/>
      </c>
      <c r="V265" s="11" t="n"/>
      <c r="W265" s="11" t="n"/>
    </row>
    <row r="266">
      <c r="A266" s="44" t="n"/>
      <c r="B266" s="11" t="n"/>
      <c r="C266" s="11" t="n"/>
      <c r="D266" s="11" t="n"/>
      <c r="E266" s="11" t="n"/>
      <c r="F266" s="11" t="n"/>
      <c r="G266" s="55" t="n"/>
      <c r="H266" s="55" t="n"/>
      <c r="I266" s="55" t="n"/>
      <c r="J266" s="11" t="n"/>
      <c r="K266" s="56" t="n"/>
      <c r="L266" s="46">
        <f>K266-J266</f>
        <v/>
      </c>
      <c r="M266" s="47" t="n"/>
      <c r="N266" s="48">
        <f>IF(A266="","",COUNTIFS(上课记录!$B:$B,A266,上课记录!$J:$J,"是"))</f>
        <v/>
      </c>
      <c r="O266" s="31">
        <f>IF(A266="","",IF(F266="次卡",MAX(0,M266-N266),"—"))</f>
        <v/>
      </c>
      <c r="P266" s="31">
        <f>IF(A266="","",IF(F266="期限卡",MAX(0,I266-TODAY()),"—"))</f>
        <v/>
      </c>
      <c r="Q266" s="31">
        <f>IF(A266="","",IF(F266="次卡",IF(OR(K266="",K266=0,M266=0),"",K266/M266),IF(F266="期限卡",IF(AND(K266&lt;&gt;"",K266&lt;&gt;0,I266&gt;H266),K266/(I266-H266),""),"")))</f>
        <v/>
      </c>
      <c r="R266" s="31">
        <f>IF(A266="","",IF(F266="次卡",IF(OR(K266="",K266=0,M266=0),"",Q266*O266),IF(F266="期限卡",IF(AND(K266&lt;&gt;"",K266&lt;&gt;0,I266&gt;H266),Q266*P266,""),"")))</f>
        <v/>
      </c>
      <c r="S266" s="58">
        <f>IF(A266="","",IFERROR(_xlfn.MAXIFS(上课记录!$D:$D,上课记录!$B:$B,A266,上课记录!$J:$J,"是"),""))</f>
        <v/>
      </c>
      <c r="T266" s="31">
        <f>IF(A266="","",IF(S266="","",TODAY()-S266))</f>
        <v/>
      </c>
      <c r="U266" s="31">
        <f>IF(A266="","",IF(OR(AND(F266="次卡",O266=0),AND(F266="期限卡",P266=0)),"已到期",IF(T266&gt;=10,"沉睡客户",IF(T266&gt;=7,"预警客户","正常"))))</f>
        <v/>
      </c>
      <c r="V266" s="11" t="n"/>
      <c r="W266" s="11" t="n"/>
    </row>
    <row r="267">
      <c r="A267" s="44" t="n"/>
      <c r="B267" s="11" t="n"/>
      <c r="C267" s="11" t="n"/>
      <c r="D267" s="11" t="n"/>
      <c r="E267" s="11" t="n"/>
      <c r="F267" s="11" t="n"/>
      <c r="G267" s="55" t="n"/>
      <c r="H267" s="55" t="n"/>
      <c r="I267" s="55" t="n"/>
      <c r="J267" s="11" t="n"/>
      <c r="K267" s="56" t="n"/>
      <c r="L267" s="46">
        <f>K267-J267</f>
        <v/>
      </c>
      <c r="M267" s="47" t="n"/>
      <c r="N267" s="48">
        <f>IF(A267="","",COUNTIFS(上课记录!$B:$B,A267,上课记录!$J:$J,"是"))</f>
        <v/>
      </c>
      <c r="O267" s="31">
        <f>IF(A267="","",IF(F267="次卡",MAX(0,M267-N267),"—"))</f>
        <v/>
      </c>
      <c r="P267" s="31">
        <f>IF(A267="","",IF(F267="期限卡",MAX(0,I267-TODAY()),"—"))</f>
        <v/>
      </c>
      <c r="Q267" s="31">
        <f>IF(A267="","",IF(F267="次卡",IF(OR(K267="",K267=0,M267=0),"",K267/M267),IF(F267="期限卡",IF(AND(K267&lt;&gt;"",K267&lt;&gt;0,I267&gt;H267),K267/(I267-H267),""),"")))</f>
        <v/>
      </c>
      <c r="R267" s="31">
        <f>IF(A267="","",IF(F267="次卡",IF(OR(K267="",K267=0,M267=0),"",Q267*O267),IF(F267="期限卡",IF(AND(K267&lt;&gt;"",K267&lt;&gt;0,I267&gt;H267),Q267*P267,""),"")))</f>
        <v/>
      </c>
      <c r="S267" s="58">
        <f>IF(A267="","",IFERROR(_xlfn.MAXIFS(上课记录!$D:$D,上课记录!$B:$B,A267,上课记录!$J:$J,"是"),""))</f>
        <v/>
      </c>
      <c r="T267" s="31">
        <f>IF(A267="","",IF(S267="","",TODAY()-S267))</f>
        <v/>
      </c>
      <c r="U267" s="31">
        <f>IF(A267="","",IF(OR(AND(F267="次卡",O267=0),AND(F267="期限卡",P267=0)),"已到期",IF(T267&gt;=10,"沉睡客户",IF(T267&gt;=7,"预警客户","正常"))))</f>
        <v/>
      </c>
      <c r="V267" s="11" t="n"/>
      <c r="W267" s="11" t="n"/>
    </row>
    <row r="268">
      <c r="A268" s="44" t="n"/>
      <c r="B268" s="11" t="n"/>
      <c r="C268" s="11" t="n"/>
      <c r="D268" s="11" t="n"/>
      <c r="E268" s="11" t="n"/>
      <c r="F268" s="11" t="n"/>
      <c r="G268" s="55" t="n"/>
      <c r="H268" s="55" t="n"/>
      <c r="I268" s="55" t="n"/>
      <c r="J268" s="11" t="n"/>
      <c r="K268" s="56" t="n"/>
      <c r="L268" s="46">
        <f>K268-J268</f>
        <v/>
      </c>
      <c r="M268" s="47" t="n"/>
      <c r="N268" s="48">
        <f>IF(A268="","",COUNTIFS(上课记录!$B:$B,A268,上课记录!$J:$J,"是"))</f>
        <v/>
      </c>
      <c r="O268" s="31">
        <f>IF(A268="","",IF(F268="次卡",MAX(0,M268-N268),"—"))</f>
        <v/>
      </c>
      <c r="P268" s="31">
        <f>IF(A268="","",IF(F268="期限卡",MAX(0,I268-TODAY()),"—"))</f>
        <v/>
      </c>
      <c r="Q268" s="31">
        <f>IF(A268="","",IF(F268="次卡",IF(OR(K268="",K268=0,M268=0),"",K268/M268),IF(F268="期限卡",IF(AND(K268&lt;&gt;"",K268&lt;&gt;0,I268&gt;H268),K268/(I268-H268),""),"")))</f>
        <v/>
      </c>
      <c r="R268" s="31">
        <f>IF(A268="","",IF(F268="次卡",IF(OR(K268="",K268=0,M268=0),"",Q268*O268),IF(F268="期限卡",IF(AND(K268&lt;&gt;"",K268&lt;&gt;0,I268&gt;H268),Q268*P268,""),"")))</f>
        <v/>
      </c>
      <c r="S268" s="58">
        <f>IF(A268="","",IFERROR(_xlfn.MAXIFS(上课记录!$D:$D,上课记录!$B:$B,A268,上课记录!$J:$J,"是"),""))</f>
        <v/>
      </c>
      <c r="T268" s="31">
        <f>IF(A268="","",IF(S268="","",TODAY()-S268))</f>
        <v/>
      </c>
      <c r="U268" s="31">
        <f>IF(A268="","",IF(OR(AND(F268="次卡",O268=0),AND(F268="期限卡",P268=0)),"已到期",IF(T268&gt;=10,"沉睡客户",IF(T268&gt;=7,"预警客户","正常"))))</f>
        <v/>
      </c>
      <c r="V268" s="11" t="n"/>
      <c r="W268" s="11" t="n"/>
    </row>
    <row r="269">
      <c r="A269" s="44" t="n"/>
      <c r="B269" s="11" t="n"/>
      <c r="C269" s="11" t="n"/>
      <c r="D269" s="11" t="n"/>
      <c r="E269" s="11" t="n"/>
      <c r="F269" s="11" t="n"/>
      <c r="G269" s="55" t="n"/>
      <c r="H269" s="55" t="n"/>
      <c r="I269" s="55" t="n"/>
      <c r="J269" s="11" t="n"/>
      <c r="K269" s="56" t="n"/>
      <c r="L269" s="46">
        <f>K269-J269</f>
        <v/>
      </c>
      <c r="M269" s="47" t="n"/>
      <c r="N269" s="48">
        <f>IF(A269="","",COUNTIFS(上课记录!$B:$B,A269,上课记录!$J:$J,"是"))</f>
        <v/>
      </c>
      <c r="O269" s="31">
        <f>IF(A269="","",IF(F269="次卡",MAX(0,M269-N269),"—"))</f>
        <v/>
      </c>
      <c r="P269" s="31">
        <f>IF(A269="","",IF(F269="期限卡",MAX(0,I269-TODAY()),"—"))</f>
        <v/>
      </c>
      <c r="Q269" s="31">
        <f>IF(A269="","",IF(F269="次卡",IF(OR(K269="",K269=0,M269=0),"",K269/M269),IF(F269="期限卡",IF(AND(K269&lt;&gt;"",K269&lt;&gt;0,I269&gt;H269),K269/(I269-H269),""),"")))</f>
        <v/>
      </c>
      <c r="R269" s="31">
        <f>IF(A269="","",IF(F269="次卡",IF(OR(K269="",K269=0,M269=0),"",Q269*O269),IF(F269="期限卡",IF(AND(K269&lt;&gt;"",K269&lt;&gt;0,I269&gt;H269),Q269*P269,""),"")))</f>
        <v/>
      </c>
      <c r="S269" s="58">
        <f>IF(A269="","",IFERROR(_xlfn.MAXIFS(上课记录!$D:$D,上课记录!$B:$B,A269,上课记录!$J:$J,"是"),""))</f>
        <v/>
      </c>
      <c r="T269" s="31">
        <f>IF(A269="","",IF(S269="","",TODAY()-S269))</f>
        <v/>
      </c>
      <c r="U269" s="31">
        <f>IF(A269="","",IF(OR(AND(F269="次卡",O269=0),AND(F269="期限卡",P269=0)),"已到期",IF(T269&gt;=10,"沉睡客户",IF(T269&gt;=7,"预警客户","正常"))))</f>
        <v/>
      </c>
      <c r="V269" s="11" t="n"/>
      <c r="W269" s="11" t="n"/>
    </row>
    <row r="270">
      <c r="A270" s="44" t="n"/>
      <c r="B270" s="11" t="n"/>
      <c r="C270" s="11" t="n"/>
      <c r="D270" s="11" t="n"/>
      <c r="E270" s="11" t="n"/>
      <c r="F270" s="11" t="n"/>
      <c r="G270" s="55" t="n"/>
      <c r="H270" s="55" t="n"/>
      <c r="I270" s="55" t="n"/>
      <c r="J270" s="11" t="n"/>
      <c r="K270" s="56" t="n"/>
      <c r="L270" s="46">
        <f>K270-J270</f>
        <v/>
      </c>
      <c r="M270" s="47" t="n"/>
      <c r="N270" s="48">
        <f>IF(A270="","",COUNTIFS(上课记录!$B:$B,A270,上课记录!$J:$J,"是"))</f>
        <v/>
      </c>
      <c r="O270" s="31">
        <f>IF(A270="","",IF(F270="次卡",MAX(0,M270-N270),"—"))</f>
        <v/>
      </c>
      <c r="P270" s="31">
        <f>IF(A270="","",IF(F270="期限卡",MAX(0,I270-TODAY()),"—"))</f>
        <v/>
      </c>
      <c r="Q270" s="31">
        <f>IF(A270="","",IF(F270="次卡",IF(OR(K270="",K270=0,M270=0),"",K270/M270),IF(F270="期限卡",IF(AND(K270&lt;&gt;"",K270&lt;&gt;0,I270&gt;H270),K270/(I270-H270),""),"")))</f>
        <v/>
      </c>
      <c r="R270" s="31">
        <f>IF(A270="","",IF(F270="次卡",IF(OR(K270="",K270=0,M270=0),"",Q270*O270),IF(F270="期限卡",IF(AND(K270&lt;&gt;"",K270&lt;&gt;0,I270&gt;H270),Q270*P270,""),"")))</f>
        <v/>
      </c>
      <c r="S270" s="58">
        <f>IF(A270="","",IFERROR(_xlfn.MAXIFS(上课记录!$D:$D,上课记录!$B:$B,A270,上课记录!$J:$J,"是"),""))</f>
        <v/>
      </c>
      <c r="T270" s="31">
        <f>IF(A270="","",IF(S270="","",TODAY()-S270))</f>
        <v/>
      </c>
      <c r="U270" s="31">
        <f>IF(A270="","",IF(OR(AND(F270="次卡",O270=0),AND(F270="期限卡",P270=0)),"已到期",IF(T270&gt;=10,"沉睡客户",IF(T270&gt;=7,"预警客户","正常"))))</f>
        <v/>
      </c>
      <c r="V270" s="11" t="n"/>
      <c r="W270" s="11" t="n"/>
    </row>
    <row r="271">
      <c r="A271" s="44" t="n"/>
      <c r="B271" s="11" t="n"/>
      <c r="C271" s="11" t="n"/>
      <c r="D271" s="11" t="n"/>
      <c r="E271" s="11" t="n"/>
      <c r="F271" s="11" t="n"/>
      <c r="G271" s="55" t="n"/>
      <c r="H271" s="55" t="n"/>
      <c r="I271" s="55" t="n"/>
      <c r="J271" s="11" t="n"/>
      <c r="K271" s="56" t="n"/>
      <c r="L271" s="46">
        <f>K271-J271</f>
        <v/>
      </c>
      <c r="M271" s="47" t="n"/>
      <c r="N271" s="48">
        <f>IF(A271="","",COUNTIFS(上课记录!$B:$B,A271,上课记录!$J:$J,"是"))</f>
        <v/>
      </c>
      <c r="O271" s="31">
        <f>IF(A271="","",IF(F271="次卡",MAX(0,M271-N271),"—"))</f>
        <v/>
      </c>
      <c r="P271" s="31">
        <f>IF(A271="","",IF(F271="期限卡",MAX(0,I271-TODAY()),"—"))</f>
        <v/>
      </c>
      <c r="Q271" s="31">
        <f>IF(A271="","",IF(F271="次卡",IF(OR(K271="",K271=0,M271=0),"",K271/M271),IF(F271="期限卡",IF(AND(K271&lt;&gt;"",K271&lt;&gt;0,I271&gt;H271),K271/(I271-H271),""),"")))</f>
        <v/>
      </c>
      <c r="R271" s="31">
        <f>IF(A271="","",IF(F271="次卡",IF(OR(K271="",K271=0,M271=0),"",Q271*O271),IF(F271="期限卡",IF(AND(K271&lt;&gt;"",K271&lt;&gt;0,I271&gt;H271),Q271*P271,""),"")))</f>
        <v/>
      </c>
      <c r="S271" s="58">
        <f>IF(A271="","",IFERROR(_xlfn.MAXIFS(上课记录!$D:$D,上课记录!$B:$B,A271,上课记录!$J:$J,"是"),""))</f>
        <v/>
      </c>
      <c r="T271" s="31">
        <f>IF(A271="","",IF(S271="","",TODAY()-S271))</f>
        <v/>
      </c>
      <c r="U271" s="31">
        <f>IF(A271="","",IF(OR(AND(F271="次卡",O271=0),AND(F271="期限卡",P271=0)),"已到期",IF(T271&gt;=10,"沉睡客户",IF(T271&gt;=7,"预警客户","正常"))))</f>
        <v/>
      </c>
      <c r="V271" s="11" t="n"/>
      <c r="W271" s="11" t="n"/>
    </row>
    <row r="272">
      <c r="A272" s="44" t="n"/>
      <c r="B272" s="11" t="n"/>
      <c r="C272" s="11" t="n"/>
      <c r="D272" s="11" t="n"/>
      <c r="E272" s="11" t="n"/>
      <c r="F272" s="11" t="n"/>
      <c r="G272" s="55" t="n"/>
      <c r="H272" s="55" t="n"/>
      <c r="I272" s="55" t="n"/>
      <c r="J272" s="11" t="n"/>
      <c r="K272" s="56" t="n"/>
      <c r="L272" s="46">
        <f>K272-J272</f>
        <v/>
      </c>
      <c r="M272" s="47" t="n"/>
      <c r="N272" s="48">
        <f>IF(A272="","",COUNTIFS(上课记录!$B:$B,A272,上课记录!$J:$J,"是"))</f>
        <v/>
      </c>
      <c r="O272" s="31">
        <f>IF(A272="","",IF(F272="次卡",MAX(0,M272-N272),"—"))</f>
        <v/>
      </c>
      <c r="P272" s="31">
        <f>IF(A272="","",IF(F272="期限卡",MAX(0,I272-TODAY()),"—"))</f>
        <v/>
      </c>
      <c r="Q272" s="31">
        <f>IF(A272="","",IF(F272="次卡",IF(OR(K272="",K272=0,M272=0),"",K272/M272),IF(F272="期限卡",IF(AND(K272&lt;&gt;"",K272&lt;&gt;0,I272&gt;H272),K272/(I272-H272),""),"")))</f>
        <v/>
      </c>
      <c r="R272" s="31">
        <f>IF(A272="","",IF(F272="次卡",IF(OR(K272="",K272=0,M272=0),"",Q272*O272),IF(F272="期限卡",IF(AND(K272&lt;&gt;"",K272&lt;&gt;0,I272&gt;H272),Q272*P272,""),"")))</f>
        <v/>
      </c>
      <c r="S272" s="58">
        <f>IF(A272="","",IFERROR(_xlfn.MAXIFS(上课记录!$D:$D,上课记录!$B:$B,A272,上课记录!$J:$J,"是"),""))</f>
        <v/>
      </c>
      <c r="T272" s="31">
        <f>IF(A272="","",IF(S272="","",TODAY()-S272))</f>
        <v/>
      </c>
      <c r="U272" s="31">
        <f>IF(A272="","",IF(OR(AND(F272="次卡",O272=0),AND(F272="期限卡",P272=0)),"已到期",IF(T272&gt;=10,"沉睡客户",IF(T272&gt;=7,"预警客户","正常"))))</f>
        <v/>
      </c>
      <c r="V272" s="11" t="n"/>
      <c r="W272" s="11" t="n"/>
    </row>
    <row r="273">
      <c r="A273" s="44" t="n"/>
      <c r="B273" s="11" t="n"/>
      <c r="C273" s="11" t="n"/>
      <c r="D273" s="11" t="n"/>
      <c r="E273" s="11" t="n"/>
      <c r="F273" s="11" t="n"/>
      <c r="G273" s="55" t="n"/>
      <c r="H273" s="55" t="n"/>
      <c r="I273" s="55" t="n"/>
      <c r="J273" s="11" t="n"/>
      <c r="K273" s="56" t="n"/>
      <c r="L273" s="46">
        <f>K273-J273</f>
        <v/>
      </c>
      <c r="M273" s="47" t="n"/>
      <c r="N273" s="48">
        <f>IF(A273="","",COUNTIFS(上课记录!$B:$B,A273,上课记录!$J:$J,"是"))</f>
        <v/>
      </c>
      <c r="O273" s="31">
        <f>IF(A273="","",IF(F273="次卡",MAX(0,M273-N273),"—"))</f>
        <v/>
      </c>
      <c r="P273" s="31">
        <f>IF(A273="","",IF(F273="期限卡",MAX(0,I273-TODAY()),"—"))</f>
        <v/>
      </c>
      <c r="Q273" s="31">
        <f>IF(A273="","",IF(F273="次卡",IF(OR(K273="",K273=0,M273=0),"",K273/M273),IF(F273="期限卡",IF(AND(K273&lt;&gt;"",K273&lt;&gt;0,I273&gt;H273),K273/(I273-H273),""),"")))</f>
        <v/>
      </c>
      <c r="R273" s="31">
        <f>IF(A273="","",IF(F273="次卡",IF(OR(K273="",K273=0,M273=0),"",Q273*O273),IF(F273="期限卡",IF(AND(K273&lt;&gt;"",K273&lt;&gt;0,I273&gt;H273),Q273*P273,""),"")))</f>
        <v/>
      </c>
      <c r="S273" s="58">
        <f>IF(A273="","",IFERROR(_xlfn.MAXIFS(上课记录!$D:$D,上课记录!$B:$B,A273,上课记录!$J:$J,"是"),""))</f>
        <v/>
      </c>
      <c r="T273" s="31">
        <f>IF(A273="","",IF(S273="","",TODAY()-S273))</f>
        <v/>
      </c>
      <c r="U273" s="31">
        <f>IF(A273="","",IF(OR(AND(F273="次卡",O273=0),AND(F273="期限卡",P273=0)),"已到期",IF(T273&gt;=10,"沉睡客户",IF(T273&gt;=7,"预警客户","正常"))))</f>
        <v/>
      </c>
      <c r="V273" s="11" t="n"/>
      <c r="W273" s="11" t="n"/>
    </row>
    <row r="274">
      <c r="A274" s="44" t="n"/>
      <c r="B274" s="11" t="n"/>
      <c r="C274" s="11" t="n"/>
      <c r="D274" s="11" t="n"/>
      <c r="E274" s="11" t="n"/>
      <c r="F274" s="11" t="n"/>
      <c r="G274" s="55" t="n"/>
      <c r="H274" s="55" t="n"/>
      <c r="I274" s="55" t="n"/>
      <c r="J274" s="11" t="n"/>
      <c r="K274" s="56" t="n"/>
      <c r="L274" s="46">
        <f>K274-J274</f>
        <v/>
      </c>
      <c r="M274" s="47" t="n"/>
      <c r="N274" s="48">
        <f>IF(A274="","",COUNTIFS(上课记录!$B:$B,A274,上课记录!$J:$J,"是"))</f>
        <v/>
      </c>
      <c r="O274" s="31">
        <f>IF(A274="","",IF(F274="次卡",MAX(0,M274-N274),"—"))</f>
        <v/>
      </c>
      <c r="P274" s="31">
        <f>IF(A274="","",IF(F274="期限卡",MAX(0,I274-TODAY()),"—"))</f>
        <v/>
      </c>
      <c r="Q274" s="31">
        <f>IF(A274="","",IF(F274="次卡",IF(OR(K274="",K274=0,M274=0),"",K274/M274),IF(F274="期限卡",IF(AND(K274&lt;&gt;"",K274&lt;&gt;0,I274&gt;H274),K274/(I274-H274),""),"")))</f>
        <v/>
      </c>
      <c r="R274" s="31">
        <f>IF(A274="","",IF(F274="次卡",IF(OR(K274="",K274=0,M274=0),"",Q274*O274),IF(F274="期限卡",IF(AND(K274&lt;&gt;"",K274&lt;&gt;0,I274&gt;H274),Q274*P274,""),"")))</f>
        <v/>
      </c>
      <c r="S274" s="58">
        <f>IF(A274="","",IFERROR(_xlfn.MAXIFS(上课记录!$D:$D,上课记录!$B:$B,A274,上课记录!$J:$J,"是"),""))</f>
        <v/>
      </c>
      <c r="T274" s="31">
        <f>IF(A274="","",IF(S274="","",TODAY()-S274))</f>
        <v/>
      </c>
      <c r="U274" s="31">
        <f>IF(A274="","",IF(OR(AND(F274="次卡",O274=0),AND(F274="期限卡",P274=0)),"已到期",IF(T274&gt;=10,"沉睡客户",IF(T274&gt;=7,"预警客户","正常"))))</f>
        <v/>
      </c>
      <c r="V274" s="11" t="n"/>
      <c r="W274" s="11" t="n"/>
    </row>
    <row r="275">
      <c r="A275" s="44" t="n"/>
      <c r="B275" s="11" t="n"/>
      <c r="C275" s="11" t="n"/>
      <c r="D275" s="11" t="n"/>
      <c r="E275" s="11" t="n"/>
      <c r="F275" s="11" t="n"/>
      <c r="G275" s="55" t="n"/>
      <c r="H275" s="55" t="n"/>
      <c r="I275" s="55" t="n"/>
      <c r="J275" s="11" t="n"/>
      <c r="K275" s="56" t="n"/>
      <c r="L275" s="46">
        <f>K275-J275</f>
        <v/>
      </c>
      <c r="M275" s="47" t="n"/>
      <c r="N275" s="48">
        <f>IF(A275="","",COUNTIFS(上课记录!$B:$B,A275,上课记录!$J:$J,"是"))</f>
        <v/>
      </c>
      <c r="O275" s="31">
        <f>IF(A275="","",IF(F275="次卡",MAX(0,M275-N275),"—"))</f>
        <v/>
      </c>
      <c r="P275" s="31">
        <f>IF(A275="","",IF(F275="期限卡",MAX(0,I275-TODAY()),"—"))</f>
        <v/>
      </c>
      <c r="Q275" s="31">
        <f>IF(A275="","",IF(F275="次卡",IF(OR(K275="",K275=0,M275=0),"",K275/M275),IF(F275="期限卡",IF(AND(K275&lt;&gt;"",K275&lt;&gt;0,I275&gt;H275),K275/(I275-H275),""),"")))</f>
        <v/>
      </c>
      <c r="R275" s="31">
        <f>IF(A275="","",IF(F275="次卡",IF(OR(K275="",K275=0,M275=0),"",Q275*O275),IF(F275="期限卡",IF(AND(K275&lt;&gt;"",K275&lt;&gt;0,I275&gt;H275),Q275*P275,""),"")))</f>
        <v/>
      </c>
      <c r="S275" s="58">
        <f>IF(A275="","",IFERROR(_xlfn.MAXIFS(上课记录!$D:$D,上课记录!$B:$B,A275,上课记录!$J:$J,"是"),""))</f>
        <v/>
      </c>
      <c r="T275" s="31">
        <f>IF(A275="","",IF(S275="","",TODAY()-S275))</f>
        <v/>
      </c>
      <c r="U275" s="31">
        <f>IF(A275="","",IF(OR(AND(F275="次卡",O275=0),AND(F275="期限卡",P275=0)),"已到期",IF(T275&gt;=10,"沉睡客户",IF(T275&gt;=7,"预警客户","正常"))))</f>
        <v/>
      </c>
      <c r="V275" s="11" t="n"/>
      <c r="W275" s="11" t="n"/>
    </row>
    <row r="276">
      <c r="A276" s="44" t="n"/>
      <c r="B276" s="11" t="n"/>
      <c r="C276" s="11" t="n"/>
      <c r="D276" s="11" t="n"/>
      <c r="E276" s="11" t="n"/>
      <c r="F276" s="11" t="n"/>
      <c r="G276" s="55" t="n"/>
      <c r="H276" s="55" t="n"/>
      <c r="I276" s="55" t="n"/>
      <c r="J276" s="11" t="n"/>
      <c r="K276" s="56" t="n"/>
      <c r="L276" s="46">
        <f>K276-J276</f>
        <v/>
      </c>
      <c r="M276" s="47" t="n"/>
      <c r="N276" s="48">
        <f>IF(A276="","",COUNTIFS(上课记录!$B:$B,A276,上课记录!$J:$J,"是"))</f>
        <v/>
      </c>
      <c r="O276" s="31">
        <f>IF(A276="","",IF(F276="次卡",MAX(0,M276-N276),"—"))</f>
        <v/>
      </c>
      <c r="P276" s="31">
        <f>IF(A276="","",IF(F276="期限卡",MAX(0,I276-TODAY()),"—"))</f>
        <v/>
      </c>
      <c r="Q276" s="31">
        <f>IF(A276="","",IF(F276="次卡",IF(OR(K276="",K276=0,M276=0),"",K276/M276),IF(F276="期限卡",IF(AND(K276&lt;&gt;"",K276&lt;&gt;0,I276&gt;H276),K276/(I276-H276),""),"")))</f>
        <v/>
      </c>
      <c r="R276" s="31">
        <f>IF(A276="","",IF(F276="次卡",IF(OR(K276="",K276=0,M276=0),"",Q276*O276),IF(F276="期限卡",IF(AND(K276&lt;&gt;"",K276&lt;&gt;0,I276&gt;H276),Q276*P276,""),"")))</f>
        <v/>
      </c>
      <c r="S276" s="58">
        <f>IF(A276="","",IFERROR(_xlfn.MAXIFS(上课记录!$D:$D,上课记录!$B:$B,A276,上课记录!$J:$J,"是"),""))</f>
        <v/>
      </c>
      <c r="T276" s="31">
        <f>IF(A276="","",IF(S276="","",TODAY()-S276))</f>
        <v/>
      </c>
      <c r="U276" s="31">
        <f>IF(A276="","",IF(OR(AND(F276="次卡",O276=0),AND(F276="期限卡",P276=0)),"已到期",IF(T276&gt;=10,"沉睡客户",IF(T276&gt;=7,"预警客户","正常"))))</f>
        <v/>
      </c>
      <c r="V276" s="11" t="n"/>
      <c r="W276" s="11" t="n"/>
    </row>
    <row r="277">
      <c r="A277" s="44" t="n"/>
      <c r="B277" s="11" t="n"/>
      <c r="C277" s="11" t="n"/>
      <c r="D277" s="11" t="n"/>
      <c r="E277" s="11" t="n"/>
      <c r="F277" s="11" t="n"/>
      <c r="G277" s="55" t="n"/>
      <c r="H277" s="55" t="n"/>
      <c r="I277" s="55" t="n"/>
      <c r="J277" s="11" t="n"/>
      <c r="K277" s="56" t="n"/>
      <c r="L277" s="46">
        <f>K277-J277</f>
        <v/>
      </c>
      <c r="M277" s="47" t="n"/>
      <c r="N277" s="48">
        <f>IF(A277="","",COUNTIFS(上课记录!$B:$B,A277,上课记录!$J:$J,"是"))</f>
        <v/>
      </c>
      <c r="O277" s="31">
        <f>IF(A277="","",IF(F277="次卡",MAX(0,M277-N277),"—"))</f>
        <v/>
      </c>
      <c r="P277" s="31">
        <f>IF(A277="","",IF(F277="期限卡",MAX(0,I277-TODAY()),"—"))</f>
        <v/>
      </c>
      <c r="Q277" s="31">
        <f>IF(A277="","",IF(F277="次卡",IF(OR(K277="",K277=0,M277=0),"",K277/M277),IF(F277="期限卡",IF(AND(K277&lt;&gt;"",K277&lt;&gt;0,I277&gt;H277),K277/(I277-H277),""),"")))</f>
        <v/>
      </c>
      <c r="R277" s="31">
        <f>IF(A277="","",IF(F277="次卡",IF(OR(K277="",K277=0,M277=0),"",Q277*O277),IF(F277="期限卡",IF(AND(K277&lt;&gt;"",K277&lt;&gt;0,I277&gt;H277),Q277*P277,""),"")))</f>
        <v/>
      </c>
      <c r="S277" s="58">
        <f>IF(A277="","",IFERROR(_xlfn.MAXIFS(上课记录!$D:$D,上课记录!$B:$B,A277,上课记录!$J:$J,"是"),""))</f>
        <v/>
      </c>
      <c r="T277" s="31">
        <f>IF(A277="","",IF(S277="","",TODAY()-S277))</f>
        <v/>
      </c>
      <c r="U277" s="31">
        <f>IF(A277="","",IF(OR(AND(F277="次卡",O277=0),AND(F277="期限卡",P277=0)),"已到期",IF(T277&gt;=10,"沉睡客户",IF(T277&gt;=7,"预警客户","正常"))))</f>
        <v/>
      </c>
      <c r="V277" s="11" t="n"/>
      <c r="W277" s="11" t="n"/>
    </row>
    <row r="278">
      <c r="A278" s="44" t="n"/>
      <c r="B278" s="11" t="n"/>
      <c r="C278" s="11" t="n"/>
      <c r="D278" s="11" t="n"/>
      <c r="E278" s="11" t="n"/>
      <c r="F278" s="11" t="n"/>
      <c r="G278" s="55" t="n"/>
      <c r="H278" s="55" t="n"/>
      <c r="I278" s="55" t="n"/>
      <c r="J278" s="11" t="n"/>
      <c r="K278" s="56" t="n"/>
      <c r="L278" s="46">
        <f>K278-J278</f>
        <v/>
      </c>
      <c r="M278" s="47" t="n"/>
      <c r="N278" s="48">
        <f>IF(A278="","",COUNTIFS(上课记录!$B:$B,A278,上课记录!$J:$J,"是"))</f>
        <v/>
      </c>
      <c r="O278" s="31">
        <f>IF(A278="","",IF(F278="次卡",MAX(0,M278-N278),"—"))</f>
        <v/>
      </c>
      <c r="P278" s="31">
        <f>IF(A278="","",IF(F278="期限卡",MAX(0,I278-TODAY()),"—"))</f>
        <v/>
      </c>
      <c r="Q278" s="31">
        <f>IF(A278="","",IF(F278="次卡",IF(OR(K278="",K278=0,M278=0),"",K278/M278),IF(F278="期限卡",IF(AND(K278&lt;&gt;"",K278&lt;&gt;0,I278&gt;H278),K278/(I278-H278),""),"")))</f>
        <v/>
      </c>
      <c r="R278" s="31">
        <f>IF(A278="","",IF(F278="次卡",IF(OR(K278="",K278=0,M278=0),"",Q278*O278),IF(F278="期限卡",IF(AND(K278&lt;&gt;"",K278&lt;&gt;0,I278&gt;H278),Q278*P278,""),"")))</f>
        <v/>
      </c>
      <c r="S278" s="58">
        <f>IF(A278="","",IFERROR(_xlfn.MAXIFS(上课记录!$D:$D,上课记录!$B:$B,A278,上课记录!$J:$J,"是"),""))</f>
        <v/>
      </c>
      <c r="T278" s="31">
        <f>IF(A278="","",IF(S278="","",TODAY()-S278))</f>
        <v/>
      </c>
      <c r="U278" s="31">
        <f>IF(A278="","",IF(OR(AND(F278="次卡",O278=0),AND(F278="期限卡",P278=0)),"已到期",IF(T278&gt;=10,"沉睡客户",IF(T278&gt;=7,"预警客户","正常"))))</f>
        <v/>
      </c>
      <c r="V278" s="11" t="n"/>
      <c r="W278" s="11" t="n"/>
    </row>
    <row r="279">
      <c r="A279" s="44" t="n"/>
      <c r="B279" s="11" t="n"/>
      <c r="C279" s="11" t="n"/>
      <c r="D279" s="11" t="n"/>
      <c r="E279" s="11" t="n"/>
      <c r="F279" s="11" t="n"/>
      <c r="G279" s="55" t="n"/>
      <c r="H279" s="55" t="n"/>
      <c r="I279" s="55" t="n"/>
      <c r="J279" s="11" t="n"/>
      <c r="K279" s="56" t="n"/>
      <c r="L279" s="46">
        <f>K279-J279</f>
        <v/>
      </c>
      <c r="M279" s="47" t="n"/>
      <c r="N279" s="48">
        <f>IF(A279="","",COUNTIFS(上课记录!$B:$B,A279,上课记录!$J:$J,"是"))</f>
        <v/>
      </c>
      <c r="O279" s="31">
        <f>IF(A279="","",IF(F279="次卡",MAX(0,M279-N279),"—"))</f>
        <v/>
      </c>
      <c r="P279" s="31">
        <f>IF(A279="","",IF(F279="期限卡",MAX(0,I279-TODAY()),"—"))</f>
        <v/>
      </c>
      <c r="Q279" s="31">
        <f>IF(A279="","",IF(F279="次卡",IF(OR(K279="",K279=0,M279=0),"",K279/M279),IF(F279="期限卡",IF(AND(K279&lt;&gt;"",K279&lt;&gt;0,I279&gt;H279),K279/(I279-H279),""),"")))</f>
        <v/>
      </c>
      <c r="R279" s="31">
        <f>IF(A279="","",IF(F279="次卡",IF(OR(K279="",K279=0,M279=0),"",Q279*O279),IF(F279="期限卡",IF(AND(K279&lt;&gt;"",K279&lt;&gt;0,I279&gt;H279),Q279*P279,""),"")))</f>
        <v/>
      </c>
      <c r="S279" s="58">
        <f>IF(A279="","",IFERROR(_xlfn.MAXIFS(上课记录!$D:$D,上课记录!$B:$B,A279,上课记录!$J:$J,"是"),""))</f>
        <v/>
      </c>
      <c r="T279" s="31">
        <f>IF(A279="","",IF(S279="","",TODAY()-S279))</f>
        <v/>
      </c>
      <c r="U279" s="31">
        <f>IF(A279="","",IF(OR(AND(F279="次卡",O279=0),AND(F279="期限卡",P279=0)),"已到期",IF(T279&gt;=10,"沉睡客户",IF(T279&gt;=7,"预警客户","正常"))))</f>
        <v/>
      </c>
      <c r="V279" s="11" t="n"/>
      <c r="W279" s="11" t="n"/>
    </row>
    <row r="280">
      <c r="A280" s="44" t="n"/>
      <c r="B280" s="11" t="n"/>
      <c r="C280" s="11" t="n"/>
      <c r="D280" s="11" t="n"/>
      <c r="E280" s="11" t="n"/>
      <c r="F280" s="11" t="n"/>
      <c r="G280" s="55" t="n"/>
      <c r="H280" s="55" t="n"/>
      <c r="I280" s="55" t="n"/>
      <c r="J280" s="11" t="n"/>
      <c r="K280" s="56" t="n"/>
      <c r="L280" s="46">
        <f>K280-J280</f>
        <v/>
      </c>
      <c r="M280" s="47" t="n"/>
      <c r="N280" s="48">
        <f>IF(A280="","",COUNTIFS(上课记录!$B:$B,A280,上课记录!$J:$J,"是"))</f>
        <v/>
      </c>
      <c r="O280" s="31">
        <f>IF(A280="","",IF(F280="次卡",MAX(0,M280-N280),"—"))</f>
        <v/>
      </c>
      <c r="P280" s="31">
        <f>IF(A280="","",IF(F280="期限卡",MAX(0,I280-TODAY()),"—"))</f>
        <v/>
      </c>
      <c r="Q280" s="31">
        <f>IF(A280="","",IF(F280="次卡",IF(OR(K280="",K280=0,M280=0),"",K280/M280),IF(F280="期限卡",IF(AND(K280&lt;&gt;"",K280&lt;&gt;0,I280&gt;H280),K280/(I280-H280),""),"")))</f>
        <v/>
      </c>
      <c r="R280" s="31">
        <f>IF(A280="","",IF(F280="次卡",IF(OR(K280="",K280=0,M280=0),"",Q280*O280),IF(F280="期限卡",IF(AND(K280&lt;&gt;"",K280&lt;&gt;0,I280&gt;H280),Q280*P280,""),"")))</f>
        <v/>
      </c>
      <c r="S280" s="58">
        <f>IF(A280="","",IFERROR(_xlfn.MAXIFS(上课记录!$D:$D,上课记录!$B:$B,A280,上课记录!$J:$J,"是"),""))</f>
        <v/>
      </c>
      <c r="T280" s="31">
        <f>IF(A280="","",IF(S280="","",TODAY()-S280))</f>
        <v/>
      </c>
      <c r="U280" s="31">
        <f>IF(A280="","",IF(OR(AND(F280="次卡",O280=0),AND(F280="期限卡",P280=0)),"已到期",IF(T280&gt;=10,"沉睡客户",IF(T280&gt;=7,"预警客户","正常"))))</f>
        <v/>
      </c>
      <c r="V280" s="11" t="n"/>
      <c r="W280" s="11" t="n"/>
    </row>
    <row r="281">
      <c r="A281" s="44" t="n"/>
      <c r="B281" s="11" t="n"/>
      <c r="C281" s="11" t="n"/>
      <c r="D281" s="11" t="n"/>
      <c r="E281" s="11" t="n"/>
      <c r="F281" s="11" t="n"/>
      <c r="G281" s="55" t="n"/>
      <c r="H281" s="55" t="n"/>
      <c r="I281" s="55" t="n"/>
      <c r="J281" s="11" t="n"/>
      <c r="K281" s="56" t="n"/>
      <c r="L281" s="46">
        <f>K281-J281</f>
        <v/>
      </c>
      <c r="M281" s="47" t="n"/>
      <c r="N281" s="48">
        <f>IF(A281="","",COUNTIFS(上课记录!$B:$B,A281,上课记录!$J:$J,"是"))</f>
        <v/>
      </c>
      <c r="O281" s="31">
        <f>IF(A281="","",IF(F281="次卡",MAX(0,M281-N281),"—"))</f>
        <v/>
      </c>
      <c r="P281" s="31">
        <f>IF(A281="","",IF(F281="期限卡",MAX(0,I281-TODAY()),"—"))</f>
        <v/>
      </c>
      <c r="Q281" s="31">
        <f>IF(A281="","",IF(F281="次卡",IF(OR(K281="",K281=0,M281=0),"",K281/M281),IF(F281="期限卡",IF(AND(K281&lt;&gt;"",K281&lt;&gt;0,I281&gt;H281),K281/(I281-H281),""),"")))</f>
        <v/>
      </c>
      <c r="R281" s="31">
        <f>IF(A281="","",IF(F281="次卡",IF(OR(K281="",K281=0,M281=0),"",Q281*O281),IF(F281="期限卡",IF(AND(K281&lt;&gt;"",K281&lt;&gt;0,I281&gt;H281),Q281*P281,""),"")))</f>
        <v/>
      </c>
      <c r="S281" s="58">
        <f>IF(A281="","",IFERROR(_xlfn.MAXIFS(上课记录!$D:$D,上课记录!$B:$B,A281,上课记录!$J:$J,"是"),""))</f>
        <v/>
      </c>
      <c r="T281" s="31">
        <f>IF(A281="","",IF(S281="","",TODAY()-S281))</f>
        <v/>
      </c>
      <c r="U281" s="31">
        <f>IF(A281="","",IF(OR(AND(F281="次卡",O281=0),AND(F281="期限卡",P281=0)),"已到期",IF(T281&gt;=10,"沉睡客户",IF(T281&gt;=7,"预警客户","正常"))))</f>
        <v/>
      </c>
      <c r="V281" s="11" t="n"/>
      <c r="W281" s="11" t="n"/>
    </row>
    <row r="282">
      <c r="A282" s="44" t="n"/>
      <c r="B282" s="11" t="n"/>
      <c r="C282" s="11" t="n"/>
      <c r="D282" s="11" t="n"/>
      <c r="E282" s="11" t="n"/>
      <c r="F282" s="11" t="n"/>
      <c r="G282" s="55" t="n"/>
      <c r="H282" s="55" t="n"/>
      <c r="I282" s="55" t="n"/>
      <c r="J282" s="11" t="n"/>
      <c r="K282" s="56" t="n"/>
      <c r="L282" s="46">
        <f>K282-J282</f>
        <v/>
      </c>
      <c r="M282" s="47" t="n"/>
      <c r="N282" s="48">
        <f>IF(A282="","",COUNTIFS(上课记录!$B:$B,A282,上课记录!$J:$J,"是"))</f>
        <v/>
      </c>
      <c r="O282" s="31">
        <f>IF(A282="","",IF(F282="次卡",MAX(0,M282-N282),"—"))</f>
        <v/>
      </c>
      <c r="P282" s="31">
        <f>IF(A282="","",IF(F282="期限卡",MAX(0,I282-TODAY()),"—"))</f>
        <v/>
      </c>
      <c r="Q282" s="31">
        <f>IF(A282="","",IF(F282="次卡",IF(OR(K282="",K282=0,M282=0),"",K282/M282),IF(F282="期限卡",IF(AND(K282&lt;&gt;"",K282&lt;&gt;0,I282&gt;H282),K282/(I282-H282),""),"")))</f>
        <v/>
      </c>
      <c r="R282" s="31">
        <f>IF(A282="","",IF(F282="次卡",IF(OR(K282="",K282=0,M282=0),"",Q282*O282),IF(F282="期限卡",IF(AND(K282&lt;&gt;"",K282&lt;&gt;0,I282&gt;H282),Q282*P282,""),"")))</f>
        <v/>
      </c>
      <c r="S282" s="58">
        <f>IF(A282="","",IFERROR(_xlfn.MAXIFS(上课记录!$D:$D,上课记录!$B:$B,A282,上课记录!$J:$J,"是"),""))</f>
        <v/>
      </c>
      <c r="T282" s="31">
        <f>IF(A282="","",IF(S282="","",TODAY()-S282))</f>
        <v/>
      </c>
      <c r="U282" s="31">
        <f>IF(A282="","",IF(OR(AND(F282="次卡",O282=0),AND(F282="期限卡",P282=0)),"已到期",IF(T282&gt;=10,"沉睡客户",IF(T282&gt;=7,"预警客户","正常"))))</f>
        <v/>
      </c>
      <c r="V282" s="11" t="n"/>
      <c r="W282" s="11" t="n"/>
    </row>
    <row r="283">
      <c r="A283" s="44" t="n"/>
      <c r="B283" s="11" t="n"/>
      <c r="C283" s="11" t="n"/>
      <c r="D283" s="11" t="n"/>
      <c r="E283" s="11" t="n"/>
      <c r="F283" s="11" t="n"/>
      <c r="G283" s="55" t="n"/>
      <c r="H283" s="55" t="n"/>
      <c r="I283" s="55" t="n"/>
      <c r="J283" s="11" t="n"/>
      <c r="K283" s="56" t="n"/>
      <c r="L283" s="46">
        <f>K283-J283</f>
        <v/>
      </c>
      <c r="M283" s="47" t="n"/>
      <c r="N283" s="48">
        <f>IF(A283="","",COUNTIFS(上课记录!$B:$B,A283,上课记录!$J:$J,"是"))</f>
        <v/>
      </c>
      <c r="O283" s="31">
        <f>IF(A283="","",IF(F283="次卡",MAX(0,M283-N283),"—"))</f>
        <v/>
      </c>
      <c r="P283" s="31">
        <f>IF(A283="","",IF(F283="期限卡",MAX(0,I283-TODAY()),"—"))</f>
        <v/>
      </c>
      <c r="Q283" s="31">
        <f>IF(A283="","",IF(F283="次卡",IF(OR(K283="",K283=0,M283=0),"",K283/M283),IF(F283="期限卡",IF(AND(K283&lt;&gt;"",K283&lt;&gt;0,I283&gt;H283),K283/(I283-H283),""),"")))</f>
        <v/>
      </c>
      <c r="R283" s="31">
        <f>IF(A283="","",IF(F283="次卡",IF(OR(K283="",K283=0,M283=0),"",Q283*O283),IF(F283="期限卡",IF(AND(K283&lt;&gt;"",K283&lt;&gt;0,I283&gt;H283),Q283*P283,""),"")))</f>
        <v/>
      </c>
      <c r="S283" s="58">
        <f>IF(A283="","",IFERROR(_xlfn.MAXIFS(上课记录!$D:$D,上课记录!$B:$B,A283,上课记录!$J:$J,"是"),""))</f>
        <v/>
      </c>
      <c r="T283" s="31">
        <f>IF(A283="","",IF(S283="","",TODAY()-S283))</f>
        <v/>
      </c>
      <c r="U283" s="31">
        <f>IF(A283="","",IF(OR(AND(F283="次卡",O283=0),AND(F283="期限卡",P283=0)),"已到期",IF(T283&gt;=10,"沉睡客户",IF(T283&gt;=7,"预警客户","正常"))))</f>
        <v/>
      </c>
      <c r="V283" s="11" t="n"/>
      <c r="W283" s="11" t="n"/>
    </row>
    <row r="284">
      <c r="A284" s="44" t="n"/>
      <c r="B284" s="11" t="n"/>
      <c r="C284" s="11" t="n"/>
      <c r="D284" s="11" t="n"/>
      <c r="E284" s="11" t="n"/>
      <c r="F284" s="11" t="n"/>
      <c r="G284" s="55" t="n"/>
      <c r="H284" s="55" t="n"/>
      <c r="I284" s="55" t="n"/>
      <c r="J284" s="11" t="n"/>
      <c r="K284" s="56" t="n"/>
      <c r="L284" s="46">
        <f>K284-J284</f>
        <v/>
      </c>
      <c r="M284" s="47" t="n"/>
      <c r="N284" s="48">
        <f>IF(A284="","",COUNTIFS(上课记录!$B:$B,A284,上课记录!$J:$J,"是"))</f>
        <v/>
      </c>
      <c r="O284" s="31">
        <f>IF(A284="","",IF(F284="次卡",MAX(0,M284-N284),"—"))</f>
        <v/>
      </c>
      <c r="P284" s="31">
        <f>IF(A284="","",IF(F284="期限卡",MAX(0,I284-TODAY()),"—"))</f>
        <v/>
      </c>
      <c r="Q284" s="31">
        <f>IF(A284="","",IF(F284="次卡",IF(OR(K284="",K284=0,M284=0),"",K284/M284),IF(F284="期限卡",IF(AND(K284&lt;&gt;"",K284&lt;&gt;0,I284&gt;H284),K284/(I284-H284),""),"")))</f>
        <v/>
      </c>
      <c r="R284" s="31">
        <f>IF(A284="","",IF(F284="次卡",IF(OR(K284="",K284=0,M284=0),"",Q284*O284),IF(F284="期限卡",IF(AND(K284&lt;&gt;"",K284&lt;&gt;0,I284&gt;H284),Q284*P284,""),"")))</f>
        <v/>
      </c>
      <c r="S284" s="58">
        <f>IF(A284="","",IFERROR(_xlfn.MAXIFS(上课记录!$D:$D,上课记录!$B:$B,A284,上课记录!$J:$J,"是"),""))</f>
        <v/>
      </c>
      <c r="T284" s="31">
        <f>IF(A284="","",IF(S284="","",TODAY()-S284))</f>
        <v/>
      </c>
      <c r="U284" s="31">
        <f>IF(A284="","",IF(OR(AND(F284="次卡",O284=0),AND(F284="期限卡",P284=0)),"已到期",IF(T284&gt;=10,"沉睡客户",IF(T284&gt;=7,"预警客户","正常"))))</f>
        <v/>
      </c>
      <c r="V284" s="11" t="n"/>
      <c r="W284" s="11" t="n"/>
    </row>
    <row r="285">
      <c r="A285" s="44" t="n"/>
      <c r="B285" s="11" t="n"/>
      <c r="C285" s="11" t="n"/>
      <c r="D285" s="11" t="n"/>
      <c r="E285" s="11" t="n"/>
      <c r="F285" s="11" t="n"/>
      <c r="G285" s="55" t="n"/>
      <c r="H285" s="55" t="n"/>
      <c r="I285" s="55" t="n"/>
      <c r="J285" s="11" t="n"/>
      <c r="K285" s="56" t="n"/>
      <c r="L285" s="46">
        <f>K285-J285</f>
        <v/>
      </c>
      <c r="M285" s="47" t="n"/>
      <c r="N285" s="48">
        <f>IF(A285="","",COUNTIFS(上课记录!$B:$B,A285,上课记录!$J:$J,"是"))</f>
        <v/>
      </c>
      <c r="O285" s="31">
        <f>IF(A285="","",IF(F285="次卡",MAX(0,M285-N285),"—"))</f>
        <v/>
      </c>
      <c r="P285" s="31">
        <f>IF(A285="","",IF(F285="期限卡",MAX(0,I285-TODAY()),"—"))</f>
        <v/>
      </c>
      <c r="Q285" s="31">
        <f>IF(A285="","",IF(F285="次卡",IF(OR(K285="",K285=0,M285=0),"",K285/M285),IF(F285="期限卡",IF(AND(K285&lt;&gt;"",K285&lt;&gt;0,I285&gt;H285),K285/(I285-H285),""),"")))</f>
        <v/>
      </c>
      <c r="R285" s="31">
        <f>IF(A285="","",IF(F285="次卡",IF(OR(K285="",K285=0,M285=0),"",Q285*O285),IF(F285="期限卡",IF(AND(K285&lt;&gt;"",K285&lt;&gt;0,I285&gt;H285),Q285*P285,""),"")))</f>
        <v/>
      </c>
      <c r="S285" s="58">
        <f>IF(A285="","",IFERROR(_xlfn.MAXIFS(上课记录!$D:$D,上课记录!$B:$B,A285,上课记录!$J:$J,"是"),""))</f>
        <v/>
      </c>
      <c r="T285" s="31">
        <f>IF(A285="","",IF(S285="","",TODAY()-S285))</f>
        <v/>
      </c>
      <c r="U285" s="31">
        <f>IF(A285="","",IF(OR(AND(F285="次卡",O285=0),AND(F285="期限卡",P285=0)),"已到期",IF(T285&gt;=10,"沉睡客户",IF(T285&gt;=7,"预警客户","正常"))))</f>
        <v/>
      </c>
      <c r="V285" s="11" t="n"/>
      <c r="W285" s="11" t="n"/>
    </row>
    <row r="286">
      <c r="A286" s="44" t="n"/>
      <c r="B286" s="11" t="n"/>
      <c r="C286" s="11" t="n"/>
      <c r="D286" s="11" t="n"/>
      <c r="E286" s="11" t="n"/>
      <c r="F286" s="11" t="n"/>
      <c r="G286" s="55" t="n"/>
      <c r="H286" s="55" t="n"/>
      <c r="I286" s="55" t="n"/>
      <c r="J286" s="11" t="n"/>
      <c r="K286" s="56" t="n"/>
      <c r="L286" s="46">
        <f>K286-J286</f>
        <v/>
      </c>
      <c r="M286" s="47" t="n"/>
      <c r="N286" s="48">
        <f>IF(A286="","",COUNTIFS(上课记录!$B:$B,A286,上课记录!$J:$J,"是"))</f>
        <v/>
      </c>
      <c r="O286" s="31">
        <f>IF(A286="","",IF(F286="次卡",MAX(0,M286-N286),"—"))</f>
        <v/>
      </c>
      <c r="P286" s="31">
        <f>IF(A286="","",IF(F286="期限卡",MAX(0,I286-TODAY()),"—"))</f>
        <v/>
      </c>
      <c r="Q286" s="31">
        <f>IF(A286="","",IF(F286="次卡",IF(OR(K286="",K286=0,M286=0),"",K286/M286),IF(F286="期限卡",IF(AND(K286&lt;&gt;"",K286&lt;&gt;0,I286&gt;H286),K286/(I286-H286),""),"")))</f>
        <v/>
      </c>
      <c r="R286" s="31">
        <f>IF(A286="","",IF(F286="次卡",IF(OR(K286="",K286=0,M286=0),"",Q286*O286),IF(F286="期限卡",IF(AND(K286&lt;&gt;"",K286&lt;&gt;0,I286&gt;H286),Q286*P286,""),"")))</f>
        <v/>
      </c>
      <c r="S286" s="58">
        <f>IF(A286="","",IFERROR(_xlfn.MAXIFS(上课记录!$D:$D,上课记录!$B:$B,A286,上课记录!$J:$J,"是"),""))</f>
        <v/>
      </c>
      <c r="T286" s="31">
        <f>IF(A286="","",IF(S286="","",TODAY()-S286))</f>
        <v/>
      </c>
      <c r="U286" s="31">
        <f>IF(A286="","",IF(OR(AND(F286="次卡",O286=0),AND(F286="期限卡",P286=0)),"已到期",IF(T286&gt;=10,"沉睡客户",IF(T286&gt;=7,"预警客户","正常"))))</f>
        <v/>
      </c>
      <c r="V286" s="11" t="n"/>
      <c r="W286" s="11" t="n"/>
    </row>
    <row r="287">
      <c r="A287" s="44" t="n"/>
      <c r="B287" s="11" t="n"/>
      <c r="C287" s="11" t="n"/>
      <c r="D287" s="11" t="n"/>
      <c r="E287" s="11" t="n"/>
      <c r="F287" s="11" t="n"/>
      <c r="G287" s="55" t="n"/>
      <c r="H287" s="55" t="n"/>
      <c r="I287" s="55" t="n"/>
      <c r="J287" s="11" t="n"/>
      <c r="K287" s="56" t="n"/>
      <c r="L287" s="46">
        <f>K287-J287</f>
        <v/>
      </c>
      <c r="M287" s="47" t="n"/>
      <c r="N287" s="48">
        <f>IF(A287="","",COUNTIFS(上课记录!$B:$B,A287,上课记录!$J:$J,"是"))</f>
        <v/>
      </c>
      <c r="O287" s="31">
        <f>IF(A287="","",IF(F287="次卡",MAX(0,M287-N287),"—"))</f>
        <v/>
      </c>
      <c r="P287" s="31">
        <f>IF(A287="","",IF(F287="期限卡",MAX(0,I287-TODAY()),"—"))</f>
        <v/>
      </c>
      <c r="Q287" s="31">
        <f>IF(A287="","",IF(F287="次卡",IF(OR(K287="",K287=0,M287=0),"",K287/M287),IF(F287="期限卡",IF(AND(K287&lt;&gt;"",K287&lt;&gt;0,I287&gt;H287),K287/(I287-H287),""),"")))</f>
        <v/>
      </c>
      <c r="R287" s="31">
        <f>IF(A287="","",IF(F287="次卡",IF(OR(K287="",K287=0,M287=0),"",Q287*O287),IF(F287="期限卡",IF(AND(K287&lt;&gt;"",K287&lt;&gt;0,I287&gt;H287),Q287*P287,""),"")))</f>
        <v/>
      </c>
      <c r="S287" s="58">
        <f>IF(A287="","",IFERROR(_xlfn.MAXIFS(上课记录!$D:$D,上课记录!$B:$B,A287,上课记录!$J:$J,"是"),""))</f>
        <v/>
      </c>
      <c r="T287" s="31">
        <f>IF(A287="","",IF(S287="","",TODAY()-S287))</f>
        <v/>
      </c>
      <c r="U287" s="31">
        <f>IF(A287="","",IF(OR(AND(F287="次卡",O287=0),AND(F287="期限卡",P287=0)),"已到期",IF(T287&gt;=10,"沉睡客户",IF(T287&gt;=7,"预警客户","正常"))))</f>
        <v/>
      </c>
      <c r="V287" s="11" t="n"/>
      <c r="W287" s="11" t="n"/>
    </row>
    <row r="288">
      <c r="A288" s="44" t="n"/>
      <c r="B288" s="11" t="n"/>
      <c r="C288" s="11" t="n"/>
      <c r="D288" s="11" t="n"/>
      <c r="E288" s="11" t="n"/>
      <c r="F288" s="11" t="n"/>
      <c r="G288" s="55" t="n"/>
      <c r="H288" s="55" t="n"/>
      <c r="I288" s="55" t="n"/>
      <c r="J288" s="11" t="n"/>
      <c r="K288" s="56" t="n"/>
      <c r="L288" s="46">
        <f>K288-J288</f>
        <v/>
      </c>
      <c r="M288" s="47" t="n"/>
      <c r="N288" s="48">
        <f>IF(A288="","",COUNTIFS(上课记录!$B:$B,A288,上课记录!$J:$J,"是"))</f>
        <v/>
      </c>
      <c r="O288" s="31">
        <f>IF(A288="","",IF(F288="次卡",MAX(0,M288-N288),"—"))</f>
        <v/>
      </c>
      <c r="P288" s="31">
        <f>IF(A288="","",IF(F288="期限卡",MAX(0,I288-TODAY()),"—"))</f>
        <v/>
      </c>
      <c r="Q288" s="31">
        <f>IF(A288="","",IF(F288="次卡",IF(OR(K288="",K288=0,M288=0),"",K288/M288),IF(F288="期限卡",IF(AND(K288&lt;&gt;"",K288&lt;&gt;0,I288&gt;H288),K288/(I288-H288),""),"")))</f>
        <v/>
      </c>
      <c r="R288" s="31">
        <f>IF(A288="","",IF(F288="次卡",IF(OR(K288="",K288=0,M288=0),"",Q288*O288),IF(F288="期限卡",IF(AND(K288&lt;&gt;"",K288&lt;&gt;0,I288&gt;H288),Q288*P288,""),"")))</f>
        <v/>
      </c>
      <c r="S288" s="58">
        <f>IF(A288="","",IFERROR(_xlfn.MAXIFS(上课记录!$D:$D,上课记录!$B:$B,A288,上课记录!$J:$J,"是"),""))</f>
        <v/>
      </c>
      <c r="T288" s="31">
        <f>IF(A288="","",IF(S288="","",TODAY()-S288))</f>
        <v/>
      </c>
      <c r="U288" s="31">
        <f>IF(A288="","",IF(OR(AND(F288="次卡",O288=0),AND(F288="期限卡",P288=0)),"已到期",IF(T288&gt;=10,"沉睡客户",IF(T288&gt;=7,"预警客户","正常"))))</f>
        <v/>
      </c>
      <c r="V288" s="11" t="n"/>
      <c r="W288" s="11" t="n"/>
    </row>
    <row r="289">
      <c r="A289" s="44" t="n"/>
      <c r="B289" s="11" t="n"/>
      <c r="C289" s="11" t="n"/>
      <c r="D289" s="11" t="n"/>
      <c r="E289" s="11" t="n"/>
      <c r="F289" s="11" t="n"/>
      <c r="G289" s="55" t="n"/>
      <c r="H289" s="55" t="n"/>
      <c r="I289" s="55" t="n"/>
      <c r="J289" s="11" t="n"/>
      <c r="K289" s="56" t="n"/>
      <c r="L289" s="46">
        <f>K289-J289</f>
        <v/>
      </c>
      <c r="M289" s="47" t="n"/>
      <c r="N289" s="48">
        <f>IF(A289="","",COUNTIFS(上课记录!$B:$B,A289,上课记录!$J:$J,"是"))</f>
        <v/>
      </c>
      <c r="O289" s="31">
        <f>IF(A289="","",IF(F289="次卡",MAX(0,M289-N289),"—"))</f>
        <v/>
      </c>
      <c r="P289" s="31">
        <f>IF(A289="","",IF(F289="期限卡",MAX(0,I289-TODAY()),"—"))</f>
        <v/>
      </c>
      <c r="Q289" s="31">
        <f>IF(A289="","",IF(F289="次卡",IF(OR(K289="",K289=0,M289=0),"",K289/M289),IF(F289="期限卡",IF(AND(K289&lt;&gt;"",K289&lt;&gt;0,I289&gt;H289),K289/(I289-H289),""),"")))</f>
        <v/>
      </c>
      <c r="R289" s="31">
        <f>IF(A289="","",IF(F289="次卡",IF(OR(K289="",K289=0,M289=0),"",Q289*O289),IF(F289="期限卡",IF(AND(K289&lt;&gt;"",K289&lt;&gt;0,I289&gt;H289),Q289*P289,""),"")))</f>
        <v/>
      </c>
      <c r="S289" s="58">
        <f>IF(A289="","",IFERROR(_xlfn.MAXIFS(上课记录!$D:$D,上课记录!$B:$B,A289,上课记录!$J:$J,"是"),""))</f>
        <v/>
      </c>
      <c r="T289" s="31">
        <f>IF(A289="","",IF(S289="","",TODAY()-S289))</f>
        <v/>
      </c>
      <c r="U289" s="31">
        <f>IF(A289="","",IF(OR(AND(F289="次卡",O289=0),AND(F289="期限卡",P289=0)),"已到期",IF(T289&gt;=10,"沉睡客户",IF(T289&gt;=7,"预警客户","正常"))))</f>
        <v/>
      </c>
      <c r="V289" s="11" t="n"/>
      <c r="W289" s="11" t="n"/>
    </row>
    <row r="290">
      <c r="A290" s="44" t="n"/>
      <c r="B290" s="11" t="n"/>
      <c r="C290" s="11" t="n"/>
      <c r="D290" s="11" t="n"/>
      <c r="E290" s="11" t="n"/>
      <c r="F290" s="11" t="n"/>
      <c r="G290" s="55" t="n"/>
      <c r="H290" s="55" t="n"/>
      <c r="I290" s="55" t="n"/>
      <c r="J290" s="11" t="n"/>
      <c r="K290" s="56" t="n"/>
      <c r="L290" s="46">
        <f>K290-J290</f>
        <v/>
      </c>
      <c r="M290" s="47" t="n"/>
      <c r="N290" s="48">
        <f>IF(A290="","",COUNTIFS(上课记录!$B:$B,A290,上课记录!$J:$J,"是"))</f>
        <v/>
      </c>
      <c r="O290" s="31">
        <f>IF(A290="","",IF(F290="次卡",MAX(0,M290-N290),"—"))</f>
        <v/>
      </c>
      <c r="P290" s="31">
        <f>IF(A290="","",IF(F290="期限卡",MAX(0,I290-TODAY()),"—"))</f>
        <v/>
      </c>
      <c r="Q290" s="31">
        <f>IF(A290="","",IF(F290="次卡",IF(OR(K290="",K290=0,M290=0),"",K290/M290),IF(F290="期限卡",IF(AND(K290&lt;&gt;"",K290&lt;&gt;0,I290&gt;H290),K290/(I290-H290),""),"")))</f>
        <v/>
      </c>
      <c r="R290" s="31">
        <f>IF(A290="","",IF(F290="次卡",IF(OR(K290="",K290=0,M290=0),"",Q290*O290),IF(F290="期限卡",IF(AND(K290&lt;&gt;"",K290&lt;&gt;0,I290&gt;H290),Q290*P290,""),"")))</f>
        <v/>
      </c>
      <c r="S290" s="58">
        <f>IF(A290="","",IFERROR(_xlfn.MAXIFS(上课记录!$D:$D,上课记录!$B:$B,A290,上课记录!$J:$J,"是"),""))</f>
        <v/>
      </c>
      <c r="T290" s="31">
        <f>IF(A290="","",IF(S290="","",TODAY()-S290))</f>
        <v/>
      </c>
      <c r="U290" s="31">
        <f>IF(A290="","",IF(OR(AND(F290="次卡",O290=0),AND(F290="期限卡",P290=0)),"已到期",IF(T290&gt;=10,"沉睡客户",IF(T290&gt;=7,"预警客户","正常"))))</f>
        <v/>
      </c>
      <c r="V290" s="11" t="n"/>
      <c r="W290" s="11" t="n"/>
    </row>
    <row r="291">
      <c r="A291" s="44" t="n"/>
      <c r="B291" s="11" t="n"/>
      <c r="C291" s="11" t="n"/>
      <c r="D291" s="11" t="n"/>
      <c r="E291" s="11" t="n"/>
      <c r="F291" s="11" t="n"/>
      <c r="G291" s="55" t="n"/>
      <c r="H291" s="55" t="n"/>
      <c r="I291" s="55" t="n"/>
      <c r="J291" s="11" t="n"/>
      <c r="K291" s="56" t="n"/>
      <c r="L291" s="46">
        <f>K291-J291</f>
        <v/>
      </c>
      <c r="M291" s="47" t="n"/>
      <c r="N291" s="48">
        <f>IF(A291="","",COUNTIFS(上课记录!$B:$B,A291,上课记录!$J:$J,"是"))</f>
        <v/>
      </c>
      <c r="O291" s="31">
        <f>IF(A291="","",IF(F291="次卡",MAX(0,M291-N291),"—"))</f>
        <v/>
      </c>
      <c r="P291" s="31">
        <f>IF(A291="","",IF(F291="期限卡",MAX(0,I291-TODAY()),"—"))</f>
        <v/>
      </c>
      <c r="Q291" s="31">
        <f>IF(A291="","",IF(F291="次卡",IF(OR(K291="",K291=0,M291=0),"",K291/M291),IF(F291="期限卡",IF(AND(K291&lt;&gt;"",K291&lt;&gt;0,I291&gt;H291),K291/(I291-H291),""),"")))</f>
        <v/>
      </c>
      <c r="R291" s="31">
        <f>IF(A291="","",IF(F291="次卡",IF(OR(K291="",K291=0,M291=0),"",Q291*O291),IF(F291="期限卡",IF(AND(K291&lt;&gt;"",K291&lt;&gt;0,I291&gt;H291),Q291*P291,""),"")))</f>
        <v/>
      </c>
      <c r="S291" s="58">
        <f>IF(A291="","",IFERROR(_xlfn.MAXIFS(上课记录!$D:$D,上课记录!$B:$B,A291,上课记录!$J:$J,"是"),""))</f>
        <v/>
      </c>
      <c r="T291" s="31">
        <f>IF(A291="","",IF(S291="","",TODAY()-S291))</f>
        <v/>
      </c>
      <c r="U291" s="31">
        <f>IF(A291="","",IF(OR(AND(F291="次卡",O291=0),AND(F291="期限卡",P291=0)),"已到期",IF(T291&gt;=10,"沉睡客户",IF(T291&gt;=7,"预警客户","正常"))))</f>
        <v/>
      </c>
      <c r="V291" s="11" t="n"/>
      <c r="W291" s="11" t="n"/>
    </row>
    <row r="292">
      <c r="A292" s="44" t="n"/>
      <c r="B292" s="11" t="n"/>
      <c r="C292" s="11" t="n"/>
      <c r="D292" s="11" t="n"/>
      <c r="E292" s="11" t="n"/>
      <c r="F292" s="11" t="n"/>
      <c r="G292" s="55" t="n"/>
      <c r="H292" s="55" t="n"/>
      <c r="I292" s="55" t="n"/>
      <c r="J292" s="11" t="n"/>
      <c r="K292" s="56" t="n"/>
      <c r="L292" s="46">
        <f>K292-J292</f>
        <v/>
      </c>
      <c r="M292" s="47" t="n"/>
      <c r="N292" s="48">
        <f>IF(A292="","",COUNTIFS(上课记录!$B:$B,A292,上课记录!$J:$J,"是"))</f>
        <v/>
      </c>
      <c r="O292" s="31">
        <f>IF(A292="","",IF(F292="次卡",MAX(0,M292-N292),"—"))</f>
        <v/>
      </c>
      <c r="P292" s="31">
        <f>IF(A292="","",IF(F292="期限卡",MAX(0,I292-TODAY()),"—"))</f>
        <v/>
      </c>
      <c r="Q292" s="31">
        <f>IF(A292="","",IF(F292="次卡",IF(OR(K292="",K292=0,M292=0),"",K292/M292),IF(F292="期限卡",IF(AND(K292&lt;&gt;"",K292&lt;&gt;0,I292&gt;H292),K292/(I292-H292),""),"")))</f>
        <v/>
      </c>
      <c r="R292" s="31">
        <f>IF(A292="","",IF(F292="次卡",IF(OR(K292="",K292=0,M292=0),"",Q292*O292),IF(F292="期限卡",IF(AND(K292&lt;&gt;"",K292&lt;&gt;0,I292&gt;H292),Q292*P292,""),"")))</f>
        <v/>
      </c>
      <c r="S292" s="58">
        <f>IF(A292="","",IFERROR(_xlfn.MAXIFS(上课记录!$D:$D,上课记录!$B:$B,A292,上课记录!$J:$J,"是"),""))</f>
        <v/>
      </c>
      <c r="T292" s="31">
        <f>IF(A292="","",IF(S292="","",TODAY()-S292))</f>
        <v/>
      </c>
      <c r="U292" s="31">
        <f>IF(A292="","",IF(OR(AND(F292="次卡",O292=0),AND(F292="期限卡",P292=0)),"已到期",IF(T292&gt;=10,"沉睡客户",IF(T292&gt;=7,"预警客户","正常"))))</f>
        <v/>
      </c>
      <c r="V292" s="11" t="n"/>
      <c r="W292" s="11" t="n"/>
    </row>
    <row r="293">
      <c r="A293" s="44" t="n"/>
      <c r="B293" s="11" t="n"/>
      <c r="C293" s="11" t="n"/>
      <c r="D293" s="11" t="n"/>
      <c r="E293" s="11" t="n"/>
      <c r="F293" s="11" t="n"/>
      <c r="G293" s="55" t="n"/>
      <c r="H293" s="55" t="n"/>
      <c r="I293" s="55" t="n"/>
      <c r="J293" s="11" t="n"/>
      <c r="K293" s="56" t="n"/>
      <c r="L293" s="46">
        <f>K293-J293</f>
        <v/>
      </c>
      <c r="M293" s="47" t="n"/>
      <c r="N293" s="48">
        <f>IF(A293="","",COUNTIFS(上课记录!$B:$B,A293,上课记录!$J:$J,"是"))</f>
        <v/>
      </c>
      <c r="O293" s="31">
        <f>IF(A293="","",IF(F293="次卡",MAX(0,M293-N293),"—"))</f>
        <v/>
      </c>
      <c r="P293" s="31">
        <f>IF(A293="","",IF(F293="期限卡",MAX(0,I293-TODAY()),"—"))</f>
        <v/>
      </c>
      <c r="Q293" s="31">
        <f>IF(A293="","",IF(F293="次卡",IF(OR(K293="",K293=0,M293=0),"",K293/M293),IF(F293="期限卡",IF(AND(K293&lt;&gt;"",K293&lt;&gt;0,I293&gt;H293),K293/(I293-H293),""),"")))</f>
        <v/>
      </c>
      <c r="R293" s="31">
        <f>IF(A293="","",IF(F293="次卡",IF(OR(K293="",K293=0,M293=0),"",Q293*O293),IF(F293="期限卡",IF(AND(K293&lt;&gt;"",K293&lt;&gt;0,I293&gt;H293),Q293*P293,""),"")))</f>
        <v/>
      </c>
      <c r="S293" s="58">
        <f>IF(A293="","",IFERROR(_xlfn.MAXIFS(上课记录!$D:$D,上课记录!$B:$B,A293,上课记录!$J:$J,"是"),""))</f>
        <v/>
      </c>
      <c r="T293" s="31">
        <f>IF(A293="","",IF(S293="","",TODAY()-S293))</f>
        <v/>
      </c>
      <c r="U293" s="31">
        <f>IF(A293="","",IF(OR(AND(F293="次卡",O293=0),AND(F293="期限卡",P293=0)),"已到期",IF(T293&gt;=10,"沉睡客户",IF(T293&gt;=7,"预警客户","正常"))))</f>
        <v/>
      </c>
      <c r="V293" s="11" t="n"/>
      <c r="W293" s="11" t="n"/>
    </row>
    <row r="294">
      <c r="A294" s="44" t="n"/>
      <c r="B294" s="11" t="n"/>
      <c r="C294" s="11" t="n"/>
      <c r="D294" s="11" t="n"/>
      <c r="E294" s="11" t="n"/>
      <c r="F294" s="11" t="n"/>
      <c r="G294" s="55" t="n"/>
      <c r="H294" s="55" t="n"/>
      <c r="I294" s="55" t="n"/>
      <c r="J294" s="11" t="n"/>
      <c r="K294" s="56" t="n"/>
      <c r="L294" s="46">
        <f>K294-J294</f>
        <v/>
      </c>
      <c r="M294" s="47" t="n"/>
      <c r="N294" s="48">
        <f>IF(A294="","",COUNTIFS(上课记录!$B:$B,A294,上课记录!$J:$J,"是"))</f>
        <v/>
      </c>
      <c r="O294" s="31">
        <f>IF(A294="","",IF(F294="次卡",MAX(0,M294-N294),"—"))</f>
        <v/>
      </c>
      <c r="P294" s="31">
        <f>IF(A294="","",IF(F294="期限卡",MAX(0,I294-TODAY()),"—"))</f>
        <v/>
      </c>
      <c r="Q294" s="31">
        <f>IF(A294="","",IF(F294="次卡",IF(OR(K294="",K294=0,M294=0),"",K294/M294),IF(F294="期限卡",IF(AND(K294&lt;&gt;"",K294&lt;&gt;0,I294&gt;H294),K294/(I294-H294),""),"")))</f>
        <v/>
      </c>
      <c r="R294" s="31">
        <f>IF(A294="","",IF(F294="次卡",IF(OR(K294="",K294=0,M294=0),"",Q294*O294),IF(F294="期限卡",IF(AND(K294&lt;&gt;"",K294&lt;&gt;0,I294&gt;H294),Q294*P294,""),"")))</f>
        <v/>
      </c>
      <c r="S294" s="58">
        <f>IF(A294="","",IFERROR(_xlfn.MAXIFS(上课记录!$D:$D,上课记录!$B:$B,A294,上课记录!$J:$J,"是"),""))</f>
        <v/>
      </c>
      <c r="T294" s="31">
        <f>IF(A294="","",IF(S294="","",TODAY()-S294))</f>
        <v/>
      </c>
      <c r="U294" s="31">
        <f>IF(A294="","",IF(OR(AND(F294="次卡",O294=0),AND(F294="期限卡",P294=0)),"已到期",IF(T294&gt;=10,"沉睡客户",IF(T294&gt;=7,"预警客户","正常"))))</f>
        <v/>
      </c>
      <c r="V294" s="11" t="n"/>
      <c r="W294" s="11" t="n"/>
    </row>
    <row r="295">
      <c r="A295" s="44" t="n"/>
      <c r="B295" s="11" t="n"/>
      <c r="C295" s="11" t="n"/>
      <c r="D295" s="11" t="n"/>
      <c r="E295" s="11" t="n"/>
      <c r="F295" s="11" t="n"/>
      <c r="G295" s="55" t="n"/>
      <c r="H295" s="55" t="n"/>
      <c r="I295" s="55" t="n"/>
      <c r="J295" s="11" t="n"/>
      <c r="K295" s="56" t="n"/>
      <c r="L295" s="46">
        <f>K295-J295</f>
        <v/>
      </c>
      <c r="M295" s="47" t="n"/>
      <c r="N295" s="48">
        <f>IF(A295="","",COUNTIFS(上课记录!$B:$B,A295,上课记录!$J:$J,"是"))</f>
        <v/>
      </c>
      <c r="O295" s="31">
        <f>IF(A295="","",IF(F295="次卡",MAX(0,M295-N295),"—"))</f>
        <v/>
      </c>
      <c r="P295" s="31">
        <f>IF(A295="","",IF(F295="期限卡",MAX(0,I295-TODAY()),"—"))</f>
        <v/>
      </c>
      <c r="Q295" s="31">
        <f>IF(A295="","",IF(F295="次卡",IF(OR(K295="",K295=0,M295=0),"",K295/M295),IF(F295="期限卡",IF(AND(K295&lt;&gt;"",K295&lt;&gt;0,I295&gt;H295),K295/(I295-H295),""),"")))</f>
        <v/>
      </c>
      <c r="R295" s="31">
        <f>IF(A295="","",IF(F295="次卡",IF(OR(K295="",K295=0,M295=0),"",Q295*O295),IF(F295="期限卡",IF(AND(K295&lt;&gt;"",K295&lt;&gt;0,I295&gt;H295),Q295*P295,""),"")))</f>
        <v/>
      </c>
      <c r="S295" s="58">
        <f>IF(A295="","",IFERROR(_xlfn.MAXIFS(上课记录!$D:$D,上课记录!$B:$B,A295,上课记录!$J:$J,"是"),""))</f>
        <v/>
      </c>
      <c r="T295" s="31">
        <f>IF(A295="","",IF(S295="","",TODAY()-S295))</f>
        <v/>
      </c>
      <c r="U295" s="31">
        <f>IF(A295="","",IF(OR(AND(F295="次卡",O295=0),AND(F295="期限卡",P295=0)),"已到期",IF(T295&gt;=10,"沉睡客户",IF(T295&gt;=7,"预警客户","正常"))))</f>
        <v/>
      </c>
      <c r="V295" s="11" t="n"/>
      <c r="W295" s="11" t="n"/>
    </row>
    <row r="296">
      <c r="A296" s="44" t="n"/>
      <c r="B296" s="11" t="n"/>
      <c r="C296" s="11" t="n"/>
      <c r="D296" s="11" t="n"/>
      <c r="E296" s="11" t="n"/>
      <c r="F296" s="11" t="n"/>
      <c r="G296" s="55" t="n"/>
      <c r="H296" s="55" t="n"/>
      <c r="I296" s="55" t="n"/>
      <c r="J296" s="11" t="n"/>
      <c r="K296" s="56" t="n"/>
      <c r="L296" s="46">
        <f>K296-J296</f>
        <v/>
      </c>
      <c r="M296" s="47" t="n"/>
      <c r="N296" s="48">
        <f>IF(A296="","",COUNTIFS(上课记录!$B:$B,A296,上课记录!$J:$J,"是"))</f>
        <v/>
      </c>
      <c r="O296" s="31">
        <f>IF(A296="","",IF(F296="次卡",MAX(0,M296-N296),"—"))</f>
        <v/>
      </c>
      <c r="P296" s="31">
        <f>IF(A296="","",IF(F296="期限卡",MAX(0,I296-TODAY()),"—"))</f>
        <v/>
      </c>
      <c r="Q296" s="31">
        <f>IF(A296="","",IF(F296="次卡",IF(OR(K296="",K296=0,M296=0),"",K296/M296),IF(F296="期限卡",IF(AND(K296&lt;&gt;"",K296&lt;&gt;0,I296&gt;H296),K296/(I296-H296),""),"")))</f>
        <v/>
      </c>
      <c r="R296" s="31">
        <f>IF(A296="","",IF(F296="次卡",IF(OR(K296="",K296=0,M296=0),"",Q296*O296),IF(F296="期限卡",IF(AND(K296&lt;&gt;"",K296&lt;&gt;0,I296&gt;H296),Q296*P296,""),"")))</f>
        <v/>
      </c>
      <c r="S296" s="58">
        <f>IF(A296="","",IFERROR(_xlfn.MAXIFS(上课记录!$D:$D,上课记录!$B:$B,A296,上课记录!$J:$J,"是"),""))</f>
        <v/>
      </c>
      <c r="T296" s="31">
        <f>IF(A296="","",IF(S296="","",TODAY()-S296))</f>
        <v/>
      </c>
      <c r="U296" s="31">
        <f>IF(A296="","",IF(OR(AND(F296="次卡",O296=0),AND(F296="期限卡",P296=0)),"已到期",IF(T296&gt;=10,"沉睡客户",IF(T296&gt;=7,"预警客户","正常"))))</f>
        <v/>
      </c>
      <c r="V296" s="11" t="n"/>
      <c r="W296" s="11" t="n"/>
    </row>
    <row r="297">
      <c r="A297" s="44" t="n"/>
      <c r="B297" s="11" t="n"/>
      <c r="C297" s="11" t="n"/>
      <c r="D297" s="11" t="n"/>
      <c r="E297" s="11" t="n"/>
      <c r="F297" s="11" t="n"/>
      <c r="G297" s="55" t="n"/>
      <c r="H297" s="55" t="n"/>
      <c r="I297" s="55" t="n"/>
      <c r="J297" s="11" t="n"/>
      <c r="K297" s="56" t="n"/>
      <c r="L297" s="46">
        <f>K297-J297</f>
        <v/>
      </c>
      <c r="M297" s="47" t="n"/>
      <c r="N297" s="48">
        <f>IF(A297="","",COUNTIFS(上课记录!$B:$B,A297,上课记录!$J:$J,"是"))</f>
        <v/>
      </c>
      <c r="O297" s="31">
        <f>IF(A297="","",IF(F297="次卡",MAX(0,M297-N297),"—"))</f>
        <v/>
      </c>
      <c r="P297" s="31">
        <f>IF(A297="","",IF(F297="期限卡",MAX(0,I297-TODAY()),"—"))</f>
        <v/>
      </c>
      <c r="Q297" s="31">
        <f>IF(A297="","",IF(F297="次卡",IF(OR(K297="",K297=0,M297=0),"",K297/M297),IF(F297="期限卡",IF(AND(K297&lt;&gt;"",K297&lt;&gt;0,I297&gt;H297),K297/(I297-H297),""),"")))</f>
        <v/>
      </c>
      <c r="R297" s="31">
        <f>IF(A297="","",IF(F297="次卡",IF(OR(K297="",K297=0,M297=0),"",Q297*O297),IF(F297="期限卡",IF(AND(K297&lt;&gt;"",K297&lt;&gt;0,I297&gt;H297),Q297*P297,""),"")))</f>
        <v/>
      </c>
      <c r="S297" s="58">
        <f>IF(A297="","",IFERROR(_xlfn.MAXIFS(上课记录!$D:$D,上课记录!$B:$B,A297,上课记录!$J:$J,"是"),""))</f>
        <v/>
      </c>
      <c r="T297" s="31">
        <f>IF(A297="","",IF(S297="","",TODAY()-S297))</f>
        <v/>
      </c>
      <c r="U297" s="31">
        <f>IF(A297="","",IF(OR(AND(F297="次卡",O297=0),AND(F297="期限卡",P297=0)),"已到期",IF(T297&gt;=10,"沉睡客户",IF(T297&gt;=7,"预警客户","正常"))))</f>
        <v/>
      </c>
      <c r="V297" s="11" t="n"/>
      <c r="W297" s="11" t="n"/>
    </row>
    <row r="298">
      <c r="A298" s="44" t="n"/>
      <c r="B298" s="11" t="n"/>
      <c r="C298" s="11" t="n"/>
      <c r="D298" s="11" t="n"/>
      <c r="E298" s="11" t="n"/>
      <c r="F298" s="11" t="n"/>
      <c r="G298" s="55" t="n"/>
      <c r="H298" s="55" t="n"/>
      <c r="I298" s="55" t="n"/>
      <c r="J298" s="11" t="n"/>
      <c r="K298" s="56" t="n"/>
      <c r="L298" s="46">
        <f>K298-J298</f>
        <v/>
      </c>
      <c r="M298" s="47" t="n"/>
      <c r="N298" s="48">
        <f>IF(A298="","",COUNTIFS(上课记录!$B:$B,A298,上课记录!$J:$J,"是"))</f>
        <v/>
      </c>
      <c r="O298" s="31">
        <f>IF(A298="","",IF(F298="次卡",MAX(0,M298-N298),"—"))</f>
        <v/>
      </c>
      <c r="P298" s="31">
        <f>IF(A298="","",IF(F298="期限卡",MAX(0,I298-TODAY()),"—"))</f>
        <v/>
      </c>
      <c r="Q298" s="31">
        <f>IF(A298="","",IF(F298="次卡",IF(OR(K298="",K298=0,M298=0),"",K298/M298),IF(F298="期限卡",IF(AND(K298&lt;&gt;"",K298&lt;&gt;0,I298&gt;H298),K298/(I298-H298),""),"")))</f>
        <v/>
      </c>
      <c r="R298" s="31">
        <f>IF(A298="","",IF(F298="次卡",IF(OR(K298="",K298=0,M298=0),"",Q298*O298),IF(F298="期限卡",IF(AND(K298&lt;&gt;"",K298&lt;&gt;0,I298&gt;H298),Q298*P298,""),"")))</f>
        <v/>
      </c>
      <c r="S298" s="58">
        <f>IF(A298="","",IFERROR(_xlfn.MAXIFS(上课记录!$D:$D,上课记录!$B:$B,A298,上课记录!$J:$J,"是"),""))</f>
        <v/>
      </c>
      <c r="T298" s="31">
        <f>IF(A298="","",IF(S298="","",TODAY()-S298))</f>
        <v/>
      </c>
      <c r="U298" s="31">
        <f>IF(A298="","",IF(OR(AND(F298="次卡",O298=0),AND(F298="期限卡",P298=0)),"已到期",IF(T298&gt;=10,"沉睡客户",IF(T298&gt;=7,"预警客户","正常"))))</f>
        <v/>
      </c>
      <c r="V298" s="11" t="n"/>
      <c r="W298" s="11" t="n"/>
    </row>
    <row r="299">
      <c r="A299" s="44" t="n"/>
      <c r="B299" s="11" t="n"/>
      <c r="C299" s="11" t="n"/>
      <c r="D299" s="11" t="n"/>
      <c r="E299" s="11" t="n"/>
      <c r="F299" s="11" t="n"/>
      <c r="G299" s="55" t="n"/>
      <c r="H299" s="55" t="n"/>
      <c r="I299" s="55" t="n"/>
      <c r="J299" s="11" t="n"/>
      <c r="K299" s="56" t="n"/>
      <c r="L299" s="46">
        <f>K299-J299</f>
        <v/>
      </c>
      <c r="M299" s="47" t="n"/>
      <c r="N299" s="48">
        <f>IF(A299="","",COUNTIFS(上课记录!$B:$B,A299,上课记录!$J:$J,"是"))</f>
        <v/>
      </c>
      <c r="O299" s="31">
        <f>IF(A299="","",IF(F299="次卡",MAX(0,M299-N299),"—"))</f>
        <v/>
      </c>
      <c r="P299" s="31">
        <f>IF(A299="","",IF(F299="期限卡",MAX(0,I299-TODAY()),"—"))</f>
        <v/>
      </c>
      <c r="Q299" s="31">
        <f>IF(A299="","",IF(F299="次卡",IF(OR(K299="",K299=0,M299=0),"",K299/M299),IF(F299="期限卡",IF(AND(K299&lt;&gt;"",K299&lt;&gt;0,I299&gt;H299),K299/(I299-H299),""),"")))</f>
        <v/>
      </c>
      <c r="R299" s="31">
        <f>IF(A299="","",IF(F299="次卡",IF(OR(K299="",K299=0,M299=0),"",Q299*O299),IF(F299="期限卡",IF(AND(K299&lt;&gt;"",K299&lt;&gt;0,I299&gt;H299),Q299*P299,""),"")))</f>
        <v/>
      </c>
      <c r="S299" s="58">
        <f>IF(A299="","",IFERROR(_xlfn.MAXIFS(上课记录!$D:$D,上课记录!$B:$B,A299,上课记录!$J:$J,"是"),""))</f>
        <v/>
      </c>
      <c r="T299" s="31">
        <f>IF(A299="","",IF(S299="","",TODAY()-S299))</f>
        <v/>
      </c>
      <c r="U299" s="31">
        <f>IF(A299="","",IF(OR(AND(F299="次卡",O299=0),AND(F299="期限卡",P299=0)),"已到期",IF(T299&gt;=10,"沉睡客户",IF(T299&gt;=7,"预警客户","正常"))))</f>
        <v/>
      </c>
      <c r="V299" s="11" t="n"/>
      <c r="W299" s="11" t="n"/>
    </row>
    <row r="300">
      <c r="A300" s="44" t="n"/>
      <c r="B300" s="11" t="n"/>
      <c r="C300" s="11" t="n"/>
      <c r="D300" s="11" t="n"/>
      <c r="E300" s="11" t="n"/>
      <c r="F300" s="11" t="n"/>
      <c r="G300" s="55" t="n"/>
      <c r="H300" s="55" t="n"/>
      <c r="I300" s="55" t="n"/>
      <c r="J300" s="11" t="n"/>
      <c r="K300" s="56" t="n"/>
      <c r="L300" s="46">
        <f>K300-J300</f>
        <v/>
      </c>
      <c r="M300" s="47" t="n"/>
      <c r="N300" s="48">
        <f>IF(A300="","",COUNTIFS(上课记录!$B:$B,A300,上课记录!$J:$J,"是"))</f>
        <v/>
      </c>
      <c r="O300" s="31">
        <f>IF(A300="","",IF(F300="次卡",MAX(0,M300-N300),"—"))</f>
        <v/>
      </c>
      <c r="P300" s="31">
        <f>IF(A300="","",IF(F300="期限卡",MAX(0,I300-TODAY()),"—"))</f>
        <v/>
      </c>
      <c r="Q300" s="31">
        <f>IF(A300="","",IF(F300="次卡",IF(OR(K300="",K300=0,M300=0),"",K300/M300),IF(F300="期限卡",IF(AND(K300&lt;&gt;"",K300&lt;&gt;0,I300&gt;H300),K300/(I300-H300),""),"")))</f>
        <v/>
      </c>
      <c r="R300" s="31">
        <f>IF(A300="","",IF(F300="次卡",IF(OR(K300="",K300=0,M300=0),"",Q300*O300),IF(F300="期限卡",IF(AND(K300&lt;&gt;"",K300&lt;&gt;0,I300&gt;H300),Q300*P300,""),"")))</f>
        <v/>
      </c>
      <c r="S300" s="58">
        <f>IF(A300="","",IFERROR(_xlfn.MAXIFS(上课记录!$D:$D,上课记录!$B:$B,A300,上课记录!$J:$J,"是"),""))</f>
        <v/>
      </c>
      <c r="T300" s="31">
        <f>IF(A300="","",IF(S300="","",TODAY()-S300))</f>
        <v/>
      </c>
      <c r="U300" s="31">
        <f>IF(A300="","",IF(OR(AND(F300="次卡",O300=0),AND(F300="期限卡",P300=0)),"已到期",IF(T300&gt;=10,"沉睡客户",IF(T300&gt;=7,"预警客户","正常"))))</f>
        <v/>
      </c>
      <c r="V300" s="11" t="n"/>
      <c r="W300" s="11" t="n"/>
    </row>
    <row r="301">
      <c r="A301" s="44" t="n"/>
      <c r="B301" s="11" t="n"/>
      <c r="C301" s="11" t="n"/>
      <c r="D301" s="11" t="n"/>
      <c r="E301" s="11" t="n"/>
      <c r="F301" s="11" t="n"/>
      <c r="G301" s="55" t="n"/>
      <c r="H301" s="55" t="n"/>
      <c r="I301" s="55" t="n"/>
      <c r="J301" s="11" t="n"/>
      <c r="K301" s="56" t="n"/>
      <c r="L301" s="46">
        <f>K301-J301</f>
        <v/>
      </c>
      <c r="M301" s="47" t="n"/>
      <c r="N301" s="48">
        <f>IF(A301="","",COUNTIFS(上课记录!$B:$B,A301,上课记录!$J:$J,"是"))</f>
        <v/>
      </c>
      <c r="O301" s="31">
        <f>IF(A301="","",IF(F301="次卡",MAX(0,M301-N301),"—"))</f>
        <v/>
      </c>
      <c r="P301" s="31">
        <f>IF(A301="","",IF(F301="期限卡",MAX(0,I301-TODAY()),"—"))</f>
        <v/>
      </c>
      <c r="Q301" s="31">
        <f>IF(A301="","",IF(F301="次卡",IF(OR(K301="",K301=0,M301=0),"",K301/M301),IF(F301="期限卡",IF(AND(K301&lt;&gt;"",K301&lt;&gt;0,I301&gt;H301),K301/(I301-H301),""),"")))</f>
        <v/>
      </c>
      <c r="R301" s="31">
        <f>IF(A301="","",IF(F301="次卡",IF(OR(K301="",K301=0,M301=0),"",Q301*O301),IF(F301="期限卡",IF(AND(K301&lt;&gt;"",K301&lt;&gt;0,I301&gt;H301),Q301*P301,""),"")))</f>
        <v/>
      </c>
      <c r="S301" s="58">
        <f>IF(A301="","",IFERROR(_xlfn.MAXIFS(上课记录!$D:$D,上课记录!$B:$B,A301,上课记录!$J:$J,"是"),""))</f>
        <v/>
      </c>
      <c r="T301" s="31">
        <f>IF(A301="","",IF(S301="","",TODAY()-S301))</f>
        <v/>
      </c>
      <c r="U301" s="31">
        <f>IF(A301="","",IF(OR(AND(F301="次卡",O301=0),AND(F301="期限卡",P301=0)),"已到期",IF(T301&gt;=10,"沉睡客户",IF(T301&gt;=7,"预警客户","正常"))))</f>
        <v/>
      </c>
      <c r="V301" s="11" t="n"/>
      <c r="W301" s="11" t="n"/>
    </row>
    <row r="302">
      <c r="A302" s="44" t="n"/>
      <c r="B302" s="11" t="n"/>
      <c r="C302" s="11" t="n"/>
      <c r="D302" s="11" t="n"/>
      <c r="E302" s="11" t="n"/>
      <c r="F302" s="11" t="n"/>
      <c r="G302" s="55" t="n"/>
      <c r="H302" s="55" t="n"/>
      <c r="I302" s="55" t="n"/>
      <c r="J302" s="11" t="n"/>
      <c r="K302" s="56" t="n"/>
      <c r="L302" s="46">
        <f>K302-J302</f>
        <v/>
      </c>
      <c r="M302" s="47" t="n"/>
      <c r="N302" s="48">
        <f>IF(A302="","",COUNTIFS(上课记录!$B:$B,A302,上课记录!$J:$J,"是"))</f>
        <v/>
      </c>
      <c r="O302" s="31">
        <f>IF(A302="","",IF(F302="次卡",MAX(0,M302-N302),"—"))</f>
        <v/>
      </c>
      <c r="P302" s="31">
        <f>IF(A302="","",IF(F302="期限卡",MAX(0,I302-TODAY()),"—"))</f>
        <v/>
      </c>
      <c r="Q302" s="31">
        <f>IF(A302="","",IF(F302="次卡",IF(OR(K302="",K302=0,M302=0),"",K302/M302),IF(F302="期限卡",IF(AND(K302&lt;&gt;"",K302&lt;&gt;0,I302&gt;H302),K302/(I302-H302),""),"")))</f>
        <v/>
      </c>
      <c r="R302" s="31">
        <f>IF(A302="","",IF(F302="次卡",IF(OR(K302="",K302=0,M302=0),"",Q302*O302),IF(F302="期限卡",IF(AND(K302&lt;&gt;"",K302&lt;&gt;0,I302&gt;H302),Q302*P302,""),"")))</f>
        <v/>
      </c>
      <c r="S302" s="58">
        <f>IF(A302="","",IFERROR(_xlfn.MAXIFS(上课记录!$D:$D,上课记录!$B:$B,A302,上课记录!$J:$J,"是"),""))</f>
        <v/>
      </c>
      <c r="T302" s="31">
        <f>IF(A302="","",IF(S302="","",TODAY()-S302))</f>
        <v/>
      </c>
      <c r="U302" s="31">
        <f>IF(A302="","",IF(OR(AND(F302="次卡",O302=0),AND(F302="期限卡",P302=0)),"已到期",IF(T302&gt;=10,"沉睡客户",IF(T302&gt;=7,"预警客户","正常"))))</f>
        <v/>
      </c>
      <c r="V302" s="11" t="n"/>
      <c r="W302" s="11" t="n"/>
    </row>
    <row r="303">
      <c r="A303" s="44" t="n"/>
      <c r="B303" s="11" t="n"/>
      <c r="C303" s="11" t="n"/>
      <c r="D303" s="11" t="n"/>
      <c r="E303" s="11" t="n"/>
      <c r="F303" s="11" t="n"/>
      <c r="G303" s="55" t="n"/>
      <c r="H303" s="55" t="n"/>
      <c r="I303" s="55" t="n"/>
      <c r="J303" s="11" t="n"/>
      <c r="K303" s="56" t="n"/>
      <c r="L303" s="46">
        <f>K303-J303</f>
        <v/>
      </c>
      <c r="M303" s="47" t="n"/>
      <c r="N303" s="48">
        <f>IF(A303="","",COUNTIFS(上课记录!$B:$B,A303,上课记录!$J:$J,"是"))</f>
        <v/>
      </c>
      <c r="O303" s="31">
        <f>IF(A303="","",IF(F303="次卡",MAX(0,M303-N303),"—"))</f>
        <v/>
      </c>
      <c r="P303" s="31">
        <f>IF(A303="","",IF(F303="期限卡",MAX(0,I303-TODAY()),"—"))</f>
        <v/>
      </c>
      <c r="Q303" s="31">
        <f>IF(A303="","",IF(F303="次卡",IF(OR(K303="",K303=0,M303=0),"",K303/M303),IF(F303="期限卡",IF(AND(K303&lt;&gt;"",K303&lt;&gt;0,I303&gt;H303),K303/(I303-H303),""),"")))</f>
        <v/>
      </c>
      <c r="R303" s="31">
        <f>IF(A303="","",IF(F303="次卡",IF(OR(K303="",K303=0,M303=0),"",Q303*O303),IF(F303="期限卡",IF(AND(K303&lt;&gt;"",K303&lt;&gt;0,I303&gt;H303),Q303*P303,""),"")))</f>
        <v/>
      </c>
      <c r="S303" s="58">
        <f>IF(A303="","",IFERROR(_xlfn.MAXIFS(上课记录!$D:$D,上课记录!$B:$B,A303,上课记录!$J:$J,"是"),""))</f>
        <v/>
      </c>
      <c r="T303" s="31">
        <f>IF(A303="","",IF(S303="","",TODAY()-S303))</f>
        <v/>
      </c>
      <c r="U303" s="31">
        <f>IF(A303="","",IF(OR(AND(F303="次卡",O303=0),AND(F303="期限卡",P303=0)),"已到期",IF(T303&gt;=10,"沉睡客户",IF(T303&gt;=7,"预警客户","正常"))))</f>
        <v/>
      </c>
      <c r="V303" s="11" t="n"/>
      <c r="W303" s="11" t="n"/>
    </row>
    <row r="304">
      <c r="A304" s="44" t="n"/>
      <c r="B304" s="11" t="n"/>
      <c r="C304" s="11" t="n"/>
      <c r="D304" s="11" t="n"/>
      <c r="E304" s="11" t="n"/>
      <c r="F304" s="11" t="n"/>
      <c r="G304" s="55" t="n"/>
      <c r="H304" s="55" t="n"/>
      <c r="I304" s="55" t="n"/>
      <c r="J304" s="11" t="n"/>
      <c r="K304" s="56" t="n"/>
      <c r="L304" s="46">
        <f>K304-J304</f>
        <v/>
      </c>
      <c r="M304" s="47" t="n"/>
      <c r="N304" s="48">
        <f>IF(A304="","",COUNTIFS(上课记录!$B:$B,A304,上课记录!$J:$J,"是"))</f>
        <v/>
      </c>
      <c r="O304" s="31">
        <f>IF(A304="","",IF(F304="次卡",MAX(0,M304-N304),"—"))</f>
        <v/>
      </c>
      <c r="P304" s="31">
        <f>IF(A304="","",IF(F304="期限卡",MAX(0,I304-TODAY()),"—"))</f>
        <v/>
      </c>
      <c r="Q304" s="31">
        <f>IF(A304="","",IF(F304="次卡",IF(OR(K304="",K304=0,M304=0),"",K304/M304),IF(F304="期限卡",IF(AND(K304&lt;&gt;"",K304&lt;&gt;0,I304&gt;H304),K304/(I304-H304),""),"")))</f>
        <v/>
      </c>
      <c r="R304" s="31">
        <f>IF(A304="","",IF(F304="次卡",IF(OR(K304="",K304=0,M304=0),"",Q304*O304),IF(F304="期限卡",IF(AND(K304&lt;&gt;"",K304&lt;&gt;0,I304&gt;H304),Q304*P304,""),"")))</f>
        <v/>
      </c>
      <c r="S304" s="58">
        <f>IF(A304="","",IFERROR(_xlfn.MAXIFS(上课记录!$D:$D,上课记录!$B:$B,A304,上课记录!$J:$J,"是"),""))</f>
        <v/>
      </c>
      <c r="T304" s="31">
        <f>IF(A304="","",IF(S304="","",TODAY()-S304))</f>
        <v/>
      </c>
      <c r="U304" s="31">
        <f>IF(A304="","",IF(OR(AND(F304="次卡",O304=0),AND(F304="期限卡",P304=0)),"已到期",IF(T304&gt;=10,"沉睡客户",IF(T304&gt;=7,"预警客户","正常"))))</f>
        <v/>
      </c>
      <c r="V304" s="11" t="n"/>
      <c r="W304" s="11" t="n"/>
    </row>
    <row r="305">
      <c r="A305" s="44" t="n"/>
      <c r="B305" s="11" t="n"/>
      <c r="C305" s="11" t="n"/>
      <c r="D305" s="11" t="n"/>
      <c r="E305" s="11" t="n"/>
      <c r="F305" s="11" t="n"/>
      <c r="G305" s="55" t="n"/>
      <c r="H305" s="55" t="n"/>
      <c r="I305" s="55" t="n"/>
      <c r="J305" s="11" t="n"/>
      <c r="K305" s="56" t="n"/>
      <c r="L305" s="46">
        <f>K305-J305</f>
        <v/>
      </c>
      <c r="M305" s="47" t="n"/>
      <c r="N305" s="48">
        <f>IF(A305="","",COUNTIFS(上课记录!$B:$B,A305,上课记录!$J:$J,"是"))</f>
        <v/>
      </c>
      <c r="O305" s="31">
        <f>IF(A305="","",IF(F305="次卡",MAX(0,M305-N305),"—"))</f>
        <v/>
      </c>
      <c r="P305" s="31">
        <f>IF(A305="","",IF(F305="期限卡",MAX(0,I305-TODAY()),"—"))</f>
        <v/>
      </c>
      <c r="Q305" s="31">
        <f>IF(A305="","",IF(F305="次卡",IF(OR(K305="",K305=0,M305=0),"",K305/M305),IF(F305="期限卡",IF(AND(K305&lt;&gt;"",K305&lt;&gt;0,I305&gt;H305),K305/(I305-H305),""),"")))</f>
        <v/>
      </c>
      <c r="R305" s="31">
        <f>IF(A305="","",IF(F305="次卡",IF(OR(K305="",K305=0,M305=0),"",Q305*O305),IF(F305="期限卡",IF(AND(K305&lt;&gt;"",K305&lt;&gt;0,I305&gt;H305),Q305*P305,""),"")))</f>
        <v/>
      </c>
      <c r="S305" s="58">
        <f>IF(A305="","",IFERROR(_xlfn.MAXIFS(上课记录!$D:$D,上课记录!$B:$B,A305,上课记录!$J:$J,"是"),""))</f>
        <v/>
      </c>
      <c r="T305" s="31">
        <f>IF(A305="","",IF(S305="","",TODAY()-S305))</f>
        <v/>
      </c>
      <c r="U305" s="31">
        <f>IF(A305="","",IF(OR(AND(F305="次卡",O305=0),AND(F305="期限卡",P305=0)),"已到期",IF(T305&gt;=10,"沉睡客户",IF(T305&gt;=7,"预警客户","正常"))))</f>
        <v/>
      </c>
      <c r="V305" s="11" t="n"/>
      <c r="W305" s="11" t="n"/>
    </row>
    <row r="306">
      <c r="A306" s="44" t="n"/>
      <c r="B306" s="11" t="n"/>
      <c r="C306" s="11" t="n"/>
      <c r="D306" s="11" t="n"/>
      <c r="E306" s="11" t="n"/>
      <c r="F306" s="11" t="n"/>
      <c r="G306" s="55" t="n"/>
      <c r="H306" s="55" t="n"/>
      <c r="I306" s="55" t="n"/>
      <c r="J306" s="11" t="n"/>
      <c r="K306" s="56" t="n"/>
      <c r="L306" s="46">
        <f>K306-J306</f>
        <v/>
      </c>
      <c r="M306" s="47" t="n"/>
      <c r="N306" s="48">
        <f>IF(A306="","",COUNTIFS(上课记录!$B:$B,A306,上课记录!$J:$J,"是"))</f>
        <v/>
      </c>
      <c r="O306" s="31">
        <f>IF(A306="","",IF(F306="次卡",MAX(0,M306-N306),"—"))</f>
        <v/>
      </c>
      <c r="P306" s="31">
        <f>IF(A306="","",IF(F306="期限卡",MAX(0,I306-TODAY()),"—"))</f>
        <v/>
      </c>
      <c r="Q306" s="31">
        <f>IF(A306="","",IF(F306="次卡",IF(OR(K306="",K306=0,M306=0),"",K306/M306),IF(F306="期限卡",IF(AND(K306&lt;&gt;"",K306&lt;&gt;0,I306&gt;H306),K306/(I306-H306),""),"")))</f>
        <v/>
      </c>
      <c r="R306" s="31">
        <f>IF(A306="","",IF(F306="次卡",IF(OR(K306="",K306=0,M306=0),"",Q306*O306),IF(F306="期限卡",IF(AND(K306&lt;&gt;"",K306&lt;&gt;0,I306&gt;H306),Q306*P306,""),"")))</f>
        <v/>
      </c>
      <c r="S306" s="58">
        <f>IF(A306="","",IFERROR(_xlfn.MAXIFS(上课记录!$D:$D,上课记录!$B:$B,A306,上课记录!$J:$J,"是"),""))</f>
        <v/>
      </c>
      <c r="T306" s="31">
        <f>IF(A306="","",IF(S306="","",TODAY()-S306))</f>
        <v/>
      </c>
      <c r="U306" s="31">
        <f>IF(A306="","",IF(OR(AND(F306="次卡",O306=0),AND(F306="期限卡",P306=0)),"已到期",IF(T306&gt;=10,"沉睡客户",IF(T306&gt;=7,"预警客户","正常"))))</f>
        <v/>
      </c>
      <c r="V306" s="11" t="n"/>
      <c r="W306" s="11" t="n"/>
    </row>
    <row r="307">
      <c r="A307" s="44" t="n"/>
      <c r="B307" s="11" t="n"/>
      <c r="C307" s="11" t="n"/>
      <c r="D307" s="11" t="n"/>
      <c r="E307" s="11" t="n"/>
      <c r="F307" s="11" t="n"/>
      <c r="G307" s="55" t="n"/>
      <c r="H307" s="55" t="n"/>
      <c r="I307" s="55" t="n"/>
      <c r="J307" s="11" t="n"/>
      <c r="K307" s="56" t="n"/>
      <c r="L307" s="46">
        <f>K307-J307</f>
        <v/>
      </c>
      <c r="M307" s="47" t="n"/>
      <c r="N307" s="48">
        <f>IF(A307="","",COUNTIFS(上课记录!$B:$B,A307,上课记录!$J:$J,"是"))</f>
        <v/>
      </c>
      <c r="O307" s="31">
        <f>IF(A307="","",IF(F307="次卡",MAX(0,M307-N307),"—"))</f>
        <v/>
      </c>
      <c r="P307" s="31">
        <f>IF(A307="","",IF(F307="期限卡",MAX(0,I307-TODAY()),"—"))</f>
        <v/>
      </c>
      <c r="Q307" s="31">
        <f>IF(A307="","",IF(F307="次卡",IF(OR(K307="",K307=0,M307=0),"",K307/M307),IF(F307="期限卡",IF(AND(K307&lt;&gt;"",K307&lt;&gt;0,I307&gt;H307),K307/(I307-H307),""),"")))</f>
        <v/>
      </c>
      <c r="R307" s="31">
        <f>IF(A307="","",IF(F307="次卡",IF(OR(K307="",K307=0,M307=0),"",Q307*O307),IF(F307="期限卡",IF(AND(K307&lt;&gt;"",K307&lt;&gt;0,I307&gt;H307),Q307*P307,""),"")))</f>
        <v/>
      </c>
      <c r="S307" s="58">
        <f>IF(A307="","",IFERROR(_xlfn.MAXIFS(上课记录!$D:$D,上课记录!$B:$B,A307,上课记录!$J:$J,"是"),""))</f>
        <v/>
      </c>
      <c r="T307" s="31">
        <f>IF(A307="","",IF(S307="","",TODAY()-S307))</f>
        <v/>
      </c>
      <c r="U307" s="31">
        <f>IF(A307="","",IF(OR(AND(F307="次卡",O307=0),AND(F307="期限卡",P307=0)),"已到期",IF(T307&gt;=10,"沉睡客户",IF(T307&gt;=7,"预警客户","正常"))))</f>
        <v/>
      </c>
      <c r="V307" s="11" t="n"/>
      <c r="W307" s="11" t="n"/>
    </row>
    <row r="308">
      <c r="A308" s="44" t="n"/>
      <c r="B308" s="11" t="n"/>
      <c r="C308" s="11" t="n"/>
      <c r="D308" s="11" t="n"/>
      <c r="E308" s="11" t="n"/>
      <c r="F308" s="11" t="n"/>
      <c r="G308" s="55" t="n"/>
      <c r="H308" s="55" t="n"/>
      <c r="I308" s="55" t="n"/>
      <c r="J308" s="11" t="n"/>
      <c r="K308" s="56" t="n"/>
      <c r="L308" s="46">
        <f>K308-J308</f>
        <v/>
      </c>
      <c r="M308" s="47" t="n"/>
      <c r="N308" s="48">
        <f>IF(A308="","",COUNTIFS(上课记录!$B:$B,A308,上课记录!$J:$J,"是"))</f>
        <v/>
      </c>
      <c r="O308" s="31">
        <f>IF(A308="","",IF(F308="次卡",MAX(0,M308-N308),"—"))</f>
        <v/>
      </c>
      <c r="P308" s="31">
        <f>IF(A308="","",IF(F308="期限卡",MAX(0,I308-TODAY()),"—"))</f>
        <v/>
      </c>
      <c r="Q308" s="31">
        <f>IF(A308="","",IF(F308="次卡",IF(OR(K308="",K308=0,M308=0),"",K308/M308),IF(F308="期限卡",IF(AND(K308&lt;&gt;"",K308&lt;&gt;0,I308&gt;H308),K308/(I308-H308),""),"")))</f>
        <v/>
      </c>
      <c r="R308" s="31">
        <f>IF(A308="","",IF(F308="次卡",IF(OR(K308="",K308=0,M308=0),"",Q308*O308),IF(F308="期限卡",IF(AND(K308&lt;&gt;"",K308&lt;&gt;0,I308&gt;H308),Q308*P308,""),"")))</f>
        <v/>
      </c>
      <c r="S308" s="58">
        <f>IF(A308="","",IFERROR(_xlfn.MAXIFS(上课记录!$D:$D,上课记录!$B:$B,A308,上课记录!$J:$J,"是"),""))</f>
        <v/>
      </c>
      <c r="T308" s="31">
        <f>IF(A308="","",IF(S308="","",TODAY()-S308))</f>
        <v/>
      </c>
      <c r="U308" s="31">
        <f>IF(A308="","",IF(OR(AND(F308="次卡",O308=0),AND(F308="期限卡",P308=0)),"已到期",IF(T308&gt;=10,"沉睡客户",IF(T308&gt;=7,"预警客户","正常"))))</f>
        <v/>
      </c>
      <c r="V308" s="11" t="n"/>
      <c r="W308" s="11" t="n"/>
    </row>
    <row r="309">
      <c r="A309" s="44" t="n"/>
      <c r="B309" s="11" t="n"/>
      <c r="C309" s="11" t="n"/>
      <c r="D309" s="11" t="n"/>
      <c r="E309" s="11" t="n"/>
      <c r="F309" s="11" t="n"/>
      <c r="G309" s="55" t="n"/>
      <c r="H309" s="55" t="n"/>
      <c r="I309" s="55" t="n"/>
      <c r="J309" s="11" t="n"/>
      <c r="K309" s="56" t="n"/>
      <c r="L309" s="46">
        <f>K309-J309</f>
        <v/>
      </c>
      <c r="M309" s="47" t="n"/>
      <c r="N309" s="48">
        <f>IF(A309="","",COUNTIFS(上课记录!$B:$B,A309,上课记录!$J:$J,"是"))</f>
        <v/>
      </c>
      <c r="O309" s="31">
        <f>IF(A309="","",IF(F309="次卡",MAX(0,M309-N309),"—"))</f>
        <v/>
      </c>
      <c r="P309" s="31">
        <f>IF(A309="","",IF(F309="期限卡",MAX(0,I309-TODAY()),"—"))</f>
        <v/>
      </c>
      <c r="Q309" s="31">
        <f>IF(A309="","",IF(F309="次卡",IF(OR(K309="",K309=0,M309=0),"",K309/M309),IF(F309="期限卡",IF(AND(K309&lt;&gt;"",K309&lt;&gt;0,I309&gt;H309),K309/(I309-H309),""),"")))</f>
        <v/>
      </c>
      <c r="R309" s="31">
        <f>IF(A309="","",IF(F309="次卡",IF(OR(K309="",K309=0,M309=0),"",Q309*O309),IF(F309="期限卡",IF(AND(K309&lt;&gt;"",K309&lt;&gt;0,I309&gt;H309),Q309*P309,""),"")))</f>
        <v/>
      </c>
      <c r="S309" s="58">
        <f>IF(A309="","",IFERROR(_xlfn.MAXIFS(上课记录!$D:$D,上课记录!$B:$B,A309,上课记录!$J:$J,"是"),""))</f>
        <v/>
      </c>
      <c r="T309" s="31">
        <f>IF(A309="","",IF(S309="","",TODAY()-S309))</f>
        <v/>
      </c>
      <c r="U309" s="31">
        <f>IF(A309="","",IF(OR(AND(F309="次卡",O309=0),AND(F309="期限卡",P309=0)),"已到期",IF(T309&gt;=10,"沉睡客户",IF(T309&gt;=7,"预警客户","正常"))))</f>
        <v/>
      </c>
      <c r="V309" s="11" t="n"/>
      <c r="W309" s="11" t="n"/>
    </row>
    <row r="310">
      <c r="A310" s="44" t="n"/>
      <c r="B310" s="11" t="n"/>
      <c r="C310" s="11" t="n"/>
      <c r="D310" s="11" t="n"/>
      <c r="E310" s="11" t="n"/>
      <c r="F310" s="11" t="n"/>
      <c r="G310" s="55" t="n"/>
      <c r="H310" s="55" t="n"/>
      <c r="I310" s="55" t="n"/>
      <c r="J310" s="11" t="n"/>
      <c r="K310" s="56" t="n"/>
      <c r="L310" s="46">
        <f>K310-J310</f>
        <v/>
      </c>
      <c r="M310" s="47" t="n"/>
      <c r="N310" s="48">
        <f>IF(A310="","",COUNTIFS(上课记录!$B:$B,A310,上课记录!$J:$J,"是"))</f>
        <v/>
      </c>
      <c r="O310" s="31">
        <f>IF(A310="","",IF(F310="次卡",MAX(0,M310-N310),"—"))</f>
        <v/>
      </c>
      <c r="P310" s="31">
        <f>IF(A310="","",IF(F310="期限卡",MAX(0,I310-TODAY()),"—"))</f>
        <v/>
      </c>
      <c r="Q310" s="31">
        <f>IF(A310="","",IF(F310="次卡",IF(OR(K310="",K310=0,M310=0),"",K310/M310),IF(F310="期限卡",IF(AND(K310&lt;&gt;"",K310&lt;&gt;0,I310&gt;H310),K310/(I310-H310),""),"")))</f>
        <v/>
      </c>
      <c r="R310" s="31">
        <f>IF(A310="","",IF(F310="次卡",IF(OR(K310="",K310=0,M310=0),"",Q310*O310),IF(F310="期限卡",IF(AND(K310&lt;&gt;"",K310&lt;&gt;0,I310&gt;H310),Q310*P310,""),"")))</f>
        <v/>
      </c>
      <c r="S310" s="58">
        <f>IF(A310="","",IFERROR(_xlfn.MAXIFS(上课记录!$D:$D,上课记录!$B:$B,A310,上课记录!$J:$J,"是"),""))</f>
        <v/>
      </c>
      <c r="T310" s="31">
        <f>IF(A310="","",IF(S310="","",TODAY()-S310))</f>
        <v/>
      </c>
      <c r="U310" s="31">
        <f>IF(A310="","",IF(OR(AND(F310="次卡",O310=0),AND(F310="期限卡",P310=0)),"已到期",IF(T310&gt;=10,"沉睡客户",IF(T310&gt;=7,"预警客户","正常"))))</f>
        <v/>
      </c>
      <c r="V310" s="11" t="n"/>
      <c r="W310" s="11" t="n"/>
    </row>
    <row r="311">
      <c r="A311" s="44" t="n"/>
      <c r="B311" s="11" t="n"/>
      <c r="C311" s="11" t="n"/>
      <c r="D311" s="11" t="n"/>
      <c r="E311" s="11" t="n"/>
      <c r="F311" s="11" t="n"/>
      <c r="G311" s="55" t="n"/>
      <c r="H311" s="55" t="n"/>
      <c r="I311" s="55" t="n"/>
      <c r="J311" s="11" t="n"/>
      <c r="K311" s="56" t="n"/>
      <c r="L311" s="46">
        <f>K311-J311</f>
        <v/>
      </c>
      <c r="M311" s="47" t="n"/>
      <c r="N311" s="48">
        <f>IF(A311="","",COUNTIFS(上课记录!$B:$B,A311,上课记录!$J:$J,"是"))</f>
        <v/>
      </c>
      <c r="O311" s="31">
        <f>IF(A311="","",IF(F311="次卡",MAX(0,M311-N311),"—"))</f>
        <v/>
      </c>
      <c r="P311" s="31">
        <f>IF(A311="","",IF(F311="期限卡",MAX(0,I311-TODAY()),"—"))</f>
        <v/>
      </c>
      <c r="Q311" s="31">
        <f>IF(A311="","",IF(F311="次卡",IF(OR(K311="",K311=0,M311=0),"",K311/M311),IF(F311="期限卡",IF(AND(K311&lt;&gt;"",K311&lt;&gt;0,I311&gt;H311),K311/(I311-H311),""),"")))</f>
        <v/>
      </c>
      <c r="R311" s="31">
        <f>IF(A311="","",IF(F311="次卡",IF(OR(K311="",K311=0,M311=0),"",Q311*O311),IF(F311="期限卡",IF(AND(K311&lt;&gt;"",K311&lt;&gt;0,I311&gt;H311),Q311*P311,""),"")))</f>
        <v/>
      </c>
      <c r="S311" s="58">
        <f>IF(A311="","",IFERROR(_xlfn.MAXIFS(上课记录!$D:$D,上课记录!$B:$B,A311,上课记录!$J:$J,"是"),""))</f>
        <v/>
      </c>
      <c r="T311" s="31">
        <f>IF(A311="","",IF(S311="","",TODAY()-S311))</f>
        <v/>
      </c>
      <c r="U311" s="31">
        <f>IF(A311="","",IF(OR(AND(F311="次卡",O311=0),AND(F311="期限卡",P311=0)),"已到期",IF(T311&gt;=10,"沉睡客户",IF(T311&gt;=7,"预警客户","正常"))))</f>
        <v/>
      </c>
      <c r="V311" s="11" t="n"/>
      <c r="W311" s="11" t="n"/>
    </row>
    <row r="312">
      <c r="A312" s="44" t="n"/>
      <c r="B312" s="11" t="n"/>
      <c r="C312" s="11" t="n"/>
      <c r="D312" s="11" t="n"/>
      <c r="E312" s="11" t="n"/>
      <c r="F312" s="11" t="n"/>
      <c r="G312" s="55" t="n"/>
      <c r="H312" s="55" t="n"/>
      <c r="I312" s="55" t="n"/>
      <c r="J312" s="11" t="n"/>
      <c r="K312" s="56" t="n"/>
      <c r="L312" s="46">
        <f>K312-J312</f>
        <v/>
      </c>
      <c r="M312" s="47" t="n"/>
      <c r="N312" s="48">
        <f>IF(A312="","",COUNTIFS(上课记录!$B:$B,A312,上课记录!$J:$J,"是"))</f>
        <v/>
      </c>
      <c r="O312" s="31">
        <f>IF(A312="","",IF(F312="次卡",MAX(0,M312-N312),"—"))</f>
        <v/>
      </c>
      <c r="P312" s="31">
        <f>IF(A312="","",IF(F312="期限卡",MAX(0,I312-TODAY()),"—"))</f>
        <v/>
      </c>
      <c r="Q312" s="31">
        <f>IF(A312="","",IF(F312="次卡",IF(OR(K312="",K312=0,M312=0),"",K312/M312),IF(F312="期限卡",IF(AND(K312&lt;&gt;"",K312&lt;&gt;0,I312&gt;H312),K312/(I312-H312),""),"")))</f>
        <v/>
      </c>
      <c r="R312" s="31">
        <f>IF(A312="","",IF(F312="次卡",IF(OR(K312="",K312=0,M312=0),"",Q312*O312),IF(F312="期限卡",IF(AND(K312&lt;&gt;"",K312&lt;&gt;0,I312&gt;H312),Q312*P312,""),"")))</f>
        <v/>
      </c>
      <c r="S312" s="58">
        <f>IF(A312="","",IFERROR(_xlfn.MAXIFS(上课记录!$D:$D,上课记录!$B:$B,A312,上课记录!$J:$J,"是"),""))</f>
        <v/>
      </c>
      <c r="T312" s="31">
        <f>IF(A312="","",IF(S312="","",TODAY()-S312))</f>
        <v/>
      </c>
      <c r="U312" s="31">
        <f>IF(A312="","",IF(OR(AND(F312="次卡",O312=0),AND(F312="期限卡",P312=0)),"已到期",IF(T312&gt;=10,"沉睡客户",IF(T312&gt;=7,"预警客户","正常"))))</f>
        <v/>
      </c>
      <c r="V312" s="11" t="n"/>
      <c r="W312" s="11" t="n"/>
    </row>
    <row r="313">
      <c r="A313" s="44" t="n"/>
      <c r="B313" s="11" t="n"/>
      <c r="C313" s="11" t="n"/>
      <c r="D313" s="11" t="n"/>
      <c r="E313" s="11" t="n"/>
      <c r="F313" s="11" t="n"/>
      <c r="G313" s="55" t="n"/>
      <c r="H313" s="55" t="n"/>
      <c r="I313" s="55" t="n"/>
      <c r="J313" s="11" t="n"/>
      <c r="K313" s="56" t="n"/>
      <c r="L313" s="46">
        <f>K313-J313</f>
        <v/>
      </c>
      <c r="M313" s="47" t="n"/>
      <c r="N313" s="48">
        <f>IF(A313="","",COUNTIFS(上课记录!$B:$B,A313,上课记录!$J:$J,"是"))</f>
        <v/>
      </c>
      <c r="O313" s="31">
        <f>IF(A313="","",IF(F313="次卡",MAX(0,M313-N313),"—"))</f>
        <v/>
      </c>
      <c r="P313" s="31">
        <f>IF(A313="","",IF(F313="期限卡",MAX(0,I313-TODAY()),"—"))</f>
        <v/>
      </c>
      <c r="Q313" s="31">
        <f>IF(A313="","",IF(F313="次卡",IF(OR(K313="",K313=0,M313=0),"",K313/M313),IF(F313="期限卡",IF(AND(K313&lt;&gt;"",K313&lt;&gt;0,I313&gt;H313),K313/(I313-H313),""),"")))</f>
        <v/>
      </c>
      <c r="R313" s="31">
        <f>IF(A313="","",IF(F313="次卡",IF(OR(K313="",K313=0,M313=0),"",Q313*O313),IF(F313="期限卡",IF(AND(K313&lt;&gt;"",K313&lt;&gt;0,I313&gt;H313),Q313*P313,""),"")))</f>
        <v/>
      </c>
      <c r="S313" s="58">
        <f>IF(A313="","",IFERROR(_xlfn.MAXIFS(上课记录!$D:$D,上课记录!$B:$B,A313,上课记录!$J:$J,"是"),""))</f>
        <v/>
      </c>
      <c r="T313" s="31">
        <f>IF(A313="","",IF(S313="","",TODAY()-S313))</f>
        <v/>
      </c>
      <c r="U313" s="31">
        <f>IF(A313="","",IF(OR(AND(F313="次卡",O313=0),AND(F313="期限卡",P313=0)),"已到期",IF(T313&gt;=10,"沉睡客户",IF(T313&gt;=7,"预警客户","正常"))))</f>
        <v/>
      </c>
      <c r="V313" s="11" t="n"/>
      <c r="W313" s="11" t="n"/>
    </row>
    <row r="314">
      <c r="A314" s="44" t="n"/>
      <c r="B314" s="11" t="n"/>
      <c r="C314" s="11" t="n"/>
      <c r="D314" s="11" t="n"/>
      <c r="E314" s="11" t="n"/>
      <c r="F314" s="11" t="n"/>
      <c r="G314" s="55" t="n"/>
      <c r="H314" s="55" t="n"/>
      <c r="I314" s="55" t="n"/>
      <c r="J314" s="11" t="n"/>
      <c r="K314" s="56" t="n"/>
      <c r="L314" s="46">
        <f>K314-J314</f>
        <v/>
      </c>
      <c r="M314" s="47" t="n"/>
      <c r="N314" s="48">
        <f>IF(A314="","",COUNTIFS(上课记录!$B:$B,A314,上课记录!$J:$J,"是"))</f>
        <v/>
      </c>
      <c r="O314" s="31">
        <f>IF(A314="","",IF(F314="次卡",MAX(0,M314-N314),"—"))</f>
        <v/>
      </c>
      <c r="P314" s="31">
        <f>IF(A314="","",IF(F314="期限卡",MAX(0,I314-TODAY()),"—"))</f>
        <v/>
      </c>
      <c r="Q314" s="31">
        <f>IF(A314="","",IF(F314="次卡",IF(OR(K314="",K314=0,M314=0),"",K314/M314),IF(F314="期限卡",IF(AND(K314&lt;&gt;"",K314&lt;&gt;0,I314&gt;H314),K314/(I314-H314),""),"")))</f>
        <v/>
      </c>
      <c r="R314" s="31">
        <f>IF(A314="","",IF(F314="次卡",IF(OR(K314="",K314=0,M314=0),"",Q314*O314),IF(F314="期限卡",IF(AND(K314&lt;&gt;"",K314&lt;&gt;0,I314&gt;H314),Q314*P314,""),"")))</f>
        <v/>
      </c>
      <c r="S314" s="58">
        <f>IF(A314="","",IFERROR(_xlfn.MAXIFS(上课记录!$D:$D,上课记录!$B:$B,A314,上课记录!$J:$J,"是"),""))</f>
        <v/>
      </c>
      <c r="T314" s="31">
        <f>IF(A314="","",IF(S314="","",TODAY()-S314))</f>
        <v/>
      </c>
      <c r="U314" s="31">
        <f>IF(A314="","",IF(OR(AND(F314="次卡",O314=0),AND(F314="期限卡",P314=0)),"已到期",IF(T314&gt;=10,"沉睡客户",IF(T314&gt;=7,"预警客户","正常"))))</f>
        <v/>
      </c>
      <c r="V314" s="11" t="n"/>
      <c r="W314" s="11" t="n"/>
    </row>
    <row r="315">
      <c r="A315" s="44" t="n"/>
      <c r="B315" s="11" t="n"/>
      <c r="C315" s="11" t="n"/>
      <c r="D315" s="11" t="n"/>
      <c r="E315" s="11" t="n"/>
      <c r="F315" s="11" t="n"/>
      <c r="G315" s="55" t="n"/>
      <c r="H315" s="55" t="n"/>
      <c r="I315" s="55" t="n"/>
      <c r="J315" s="11" t="n"/>
      <c r="K315" s="56" t="n"/>
      <c r="L315" s="46">
        <f>K315-J315</f>
        <v/>
      </c>
      <c r="M315" s="47" t="n"/>
      <c r="N315" s="48">
        <f>IF(A315="","",COUNTIFS(上课记录!$B:$B,A315,上课记录!$J:$J,"是"))</f>
        <v/>
      </c>
      <c r="O315" s="31">
        <f>IF(A315="","",IF(F315="次卡",MAX(0,M315-N315),"—"))</f>
        <v/>
      </c>
      <c r="P315" s="31">
        <f>IF(A315="","",IF(F315="期限卡",MAX(0,I315-TODAY()),"—"))</f>
        <v/>
      </c>
      <c r="Q315" s="31">
        <f>IF(A315="","",IF(F315="次卡",IF(OR(K315="",K315=0,M315=0),"",K315/M315),IF(F315="期限卡",IF(AND(K315&lt;&gt;"",K315&lt;&gt;0,I315&gt;H315),K315/(I315-H315),""),"")))</f>
        <v/>
      </c>
      <c r="R315" s="31">
        <f>IF(A315="","",IF(F315="次卡",IF(OR(K315="",K315=0,M315=0),"",Q315*O315),IF(F315="期限卡",IF(AND(K315&lt;&gt;"",K315&lt;&gt;0,I315&gt;H315),Q315*P315,""),"")))</f>
        <v/>
      </c>
      <c r="S315" s="58">
        <f>IF(A315="","",IFERROR(_xlfn.MAXIFS(上课记录!$D:$D,上课记录!$B:$B,A315,上课记录!$J:$J,"是"),""))</f>
        <v/>
      </c>
      <c r="T315" s="31">
        <f>IF(A315="","",IF(S315="","",TODAY()-S315))</f>
        <v/>
      </c>
      <c r="U315" s="31">
        <f>IF(A315="","",IF(OR(AND(F315="次卡",O315=0),AND(F315="期限卡",P315=0)),"已到期",IF(T315&gt;=10,"沉睡客户",IF(T315&gt;=7,"预警客户","正常"))))</f>
        <v/>
      </c>
      <c r="V315" s="11" t="n"/>
      <c r="W315" s="11" t="n"/>
    </row>
    <row r="316">
      <c r="A316" s="44" t="n"/>
      <c r="B316" s="11" t="n"/>
      <c r="C316" s="11" t="n"/>
      <c r="D316" s="11" t="n"/>
      <c r="E316" s="11" t="n"/>
      <c r="F316" s="11" t="n"/>
      <c r="G316" s="55" t="n"/>
      <c r="H316" s="55" t="n"/>
      <c r="I316" s="55" t="n"/>
      <c r="J316" s="11" t="n"/>
      <c r="K316" s="56" t="n"/>
      <c r="L316" s="46">
        <f>K316-J316</f>
        <v/>
      </c>
      <c r="M316" s="47" t="n"/>
      <c r="N316" s="48">
        <f>IF(A316="","",COUNTIFS(上课记录!$B:$B,A316,上课记录!$J:$J,"是"))</f>
        <v/>
      </c>
      <c r="O316" s="31">
        <f>IF(A316="","",IF(F316="次卡",MAX(0,M316-N316),"—"))</f>
        <v/>
      </c>
      <c r="P316" s="31">
        <f>IF(A316="","",IF(F316="期限卡",MAX(0,I316-TODAY()),"—"))</f>
        <v/>
      </c>
      <c r="Q316" s="31">
        <f>IF(A316="","",IF(F316="次卡",IF(OR(K316="",K316=0,M316=0),"",K316/M316),IF(F316="期限卡",IF(AND(K316&lt;&gt;"",K316&lt;&gt;0,I316&gt;H316),K316/(I316-H316),""),"")))</f>
        <v/>
      </c>
      <c r="R316" s="31">
        <f>IF(A316="","",IF(F316="次卡",IF(OR(K316="",K316=0,M316=0),"",Q316*O316),IF(F316="期限卡",IF(AND(K316&lt;&gt;"",K316&lt;&gt;0,I316&gt;H316),Q316*P316,""),"")))</f>
        <v/>
      </c>
      <c r="S316" s="58">
        <f>IF(A316="","",IFERROR(_xlfn.MAXIFS(上课记录!$D:$D,上课记录!$B:$B,A316,上课记录!$J:$J,"是"),""))</f>
        <v/>
      </c>
      <c r="T316" s="31">
        <f>IF(A316="","",IF(S316="","",TODAY()-S316))</f>
        <v/>
      </c>
      <c r="U316" s="31">
        <f>IF(A316="","",IF(OR(AND(F316="次卡",O316=0),AND(F316="期限卡",P316=0)),"已到期",IF(T316&gt;=10,"沉睡客户",IF(T316&gt;=7,"预警客户","正常"))))</f>
        <v/>
      </c>
      <c r="V316" s="11" t="n"/>
      <c r="W316" s="11" t="n"/>
    </row>
    <row r="317">
      <c r="A317" s="44" t="n"/>
      <c r="B317" s="11" t="n"/>
      <c r="C317" s="11" t="n"/>
      <c r="D317" s="11" t="n"/>
      <c r="E317" s="11" t="n"/>
      <c r="F317" s="11" t="n"/>
      <c r="G317" s="55" t="n"/>
      <c r="H317" s="55" t="n"/>
      <c r="I317" s="55" t="n"/>
      <c r="J317" s="11" t="n"/>
      <c r="K317" s="56" t="n"/>
      <c r="L317" s="46">
        <f>K317-J317</f>
        <v/>
      </c>
      <c r="M317" s="47" t="n"/>
      <c r="N317" s="48">
        <f>IF(A317="","",COUNTIFS(上课记录!$B:$B,A317,上课记录!$J:$J,"是"))</f>
        <v/>
      </c>
      <c r="O317" s="31">
        <f>IF(A317="","",IF(F317="次卡",MAX(0,M317-N317),"—"))</f>
        <v/>
      </c>
      <c r="P317" s="31">
        <f>IF(A317="","",IF(F317="期限卡",MAX(0,I317-TODAY()),"—"))</f>
        <v/>
      </c>
      <c r="Q317" s="31">
        <f>IF(A317="","",IF(F317="次卡",IF(OR(K317="",K317=0,M317=0),"",K317/M317),IF(F317="期限卡",IF(AND(K317&lt;&gt;"",K317&lt;&gt;0,I317&gt;H317),K317/(I317-H317),""),"")))</f>
        <v/>
      </c>
      <c r="R317" s="31">
        <f>IF(A317="","",IF(F317="次卡",IF(OR(K317="",K317=0,M317=0),"",Q317*O317),IF(F317="期限卡",IF(AND(K317&lt;&gt;"",K317&lt;&gt;0,I317&gt;H317),Q317*P317,""),"")))</f>
        <v/>
      </c>
      <c r="S317" s="58">
        <f>IF(A317="","",IFERROR(_xlfn.MAXIFS(上课记录!$D:$D,上课记录!$B:$B,A317,上课记录!$J:$J,"是"),""))</f>
        <v/>
      </c>
      <c r="T317" s="31">
        <f>IF(A317="","",IF(S317="","",TODAY()-S317))</f>
        <v/>
      </c>
      <c r="U317" s="31">
        <f>IF(A317="","",IF(OR(AND(F317="次卡",O317=0),AND(F317="期限卡",P317=0)),"已到期",IF(T317&gt;=10,"沉睡客户",IF(T317&gt;=7,"预警客户","正常"))))</f>
        <v/>
      </c>
      <c r="V317" s="11" t="n"/>
      <c r="W317" s="11" t="n"/>
    </row>
    <row r="318">
      <c r="A318" s="44" t="n"/>
      <c r="B318" s="11" t="n"/>
      <c r="C318" s="11" t="n"/>
      <c r="D318" s="11" t="n"/>
      <c r="E318" s="11" t="n"/>
      <c r="F318" s="11" t="n"/>
      <c r="G318" s="55" t="n"/>
      <c r="H318" s="55" t="n"/>
      <c r="I318" s="55" t="n"/>
      <c r="J318" s="11" t="n"/>
      <c r="K318" s="56" t="n"/>
      <c r="L318" s="46">
        <f>K318-J318</f>
        <v/>
      </c>
      <c r="M318" s="47" t="n"/>
      <c r="N318" s="48">
        <f>IF(A318="","",COUNTIFS(上课记录!$B:$B,A318,上课记录!$J:$J,"是"))</f>
        <v/>
      </c>
      <c r="O318" s="31">
        <f>IF(A318="","",IF(F318="次卡",MAX(0,M318-N318),"—"))</f>
        <v/>
      </c>
      <c r="P318" s="31">
        <f>IF(A318="","",IF(F318="期限卡",MAX(0,I318-TODAY()),"—"))</f>
        <v/>
      </c>
      <c r="Q318" s="31">
        <f>IF(A318="","",IF(F318="次卡",IF(OR(K318="",K318=0,M318=0),"",K318/M318),IF(F318="期限卡",IF(AND(K318&lt;&gt;"",K318&lt;&gt;0,I318&gt;H318),K318/(I318-H318),""),"")))</f>
        <v/>
      </c>
      <c r="R318" s="31">
        <f>IF(A318="","",IF(F318="次卡",IF(OR(K318="",K318=0,M318=0),"",Q318*O318),IF(F318="期限卡",IF(AND(K318&lt;&gt;"",K318&lt;&gt;0,I318&gt;H318),Q318*P318,""),"")))</f>
        <v/>
      </c>
      <c r="S318" s="58">
        <f>IF(A318="","",IFERROR(_xlfn.MAXIFS(上课记录!$D:$D,上课记录!$B:$B,A318,上课记录!$J:$J,"是"),""))</f>
        <v/>
      </c>
      <c r="T318" s="31">
        <f>IF(A318="","",IF(S318="","",TODAY()-S318))</f>
        <v/>
      </c>
      <c r="U318" s="31">
        <f>IF(A318="","",IF(OR(AND(F318="次卡",O318=0),AND(F318="期限卡",P318=0)),"已到期",IF(T318&gt;=10,"沉睡客户",IF(T318&gt;=7,"预警客户","正常"))))</f>
        <v/>
      </c>
      <c r="V318" s="11" t="n"/>
      <c r="W318" s="11" t="n"/>
    </row>
    <row r="319">
      <c r="A319" s="44" t="n"/>
      <c r="B319" s="11" t="n"/>
      <c r="C319" s="11" t="n"/>
      <c r="D319" s="11" t="n"/>
      <c r="E319" s="11" t="n"/>
      <c r="F319" s="11" t="n"/>
      <c r="G319" s="55" t="n"/>
      <c r="H319" s="55" t="n"/>
      <c r="I319" s="55" t="n"/>
      <c r="J319" s="11" t="n"/>
      <c r="K319" s="56" t="n"/>
      <c r="L319" s="46">
        <f>K319-J319</f>
        <v/>
      </c>
      <c r="M319" s="47" t="n"/>
      <c r="N319" s="48">
        <f>IF(A319="","",COUNTIFS(上课记录!$B:$B,A319,上课记录!$J:$J,"是"))</f>
        <v/>
      </c>
      <c r="O319" s="31">
        <f>IF(A319="","",IF(F319="次卡",MAX(0,M319-N319),"—"))</f>
        <v/>
      </c>
      <c r="P319" s="31">
        <f>IF(A319="","",IF(F319="期限卡",MAX(0,I319-TODAY()),"—"))</f>
        <v/>
      </c>
      <c r="Q319" s="31">
        <f>IF(A319="","",IF(F319="次卡",IF(OR(K319="",K319=0,M319=0),"",K319/M319),IF(F319="期限卡",IF(AND(K319&lt;&gt;"",K319&lt;&gt;0,I319&gt;H319),K319/(I319-H319),""),"")))</f>
        <v/>
      </c>
      <c r="R319" s="31">
        <f>IF(A319="","",IF(F319="次卡",IF(OR(K319="",K319=0,M319=0),"",Q319*O319),IF(F319="期限卡",IF(AND(K319&lt;&gt;"",K319&lt;&gt;0,I319&gt;H319),Q319*P319,""),"")))</f>
        <v/>
      </c>
      <c r="S319" s="58">
        <f>IF(A319="","",IFERROR(_xlfn.MAXIFS(上课记录!$D:$D,上课记录!$B:$B,A319,上课记录!$J:$J,"是"),""))</f>
        <v/>
      </c>
      <c r="T319" s="31">
        <f>IF(A319="","",IF(S319="","",TODAY()-S319))</f>
        <v/>
      </c>
      <c r="U319" s="31">
        <f>IF(A319="","",IF(OR(AND(F319="次卡",O319=0),AND(F319="期限卡",P319=0)),"已到期",IF(T319&gt;=10,"沉睡客户",IF(T319&gt;=7,"预警客户","正常"))))</f>
        <v/>
      </c>
      <c r="V319" s="11" t="n"/>
      <c r="W319" s="11" t="n"/>
    </row>
    <row r="320">
      <c r="A320" s="44" t="n"/>
      <c r="B320" s="11" t="n"/>
      <c r="C320" s="11" t="n"/>
      <c r="D320" s="11" t="n"/>
      <c r="E320" s="11" t="n"/>
      <c r="F320" s="11" t="n"/>
      <c r="G320" s="55" t="n"/>
      <c r="H320" s="55" t="n"/>
      <c r="I320" s="55" t="n"/>
      <c r="J320" s="11" t="n"/>
      <c r="K320" s="56" t="n"/>
      <c r="L320" s="46">
        <f>K320-J320</f>
        <v/>
      </c>
      <c r="M320" s="47" t="n"/>
      <c r="N320" s="48">
        <f>IF(A320="","",COUNTIFS(上课记录!$B:$B,A320,上课记录!$J:$J,"是"))</f>
        <v/>
      </c>
      <c r="O320" s="31">
        <f>IF(A320="","",IF(F320="次卡",MAX(0,M320-N320),"—"))</f>
        <v/>
      </c>
      <c r="P320" s="31">
        <f>IF(A320="","",IF(F320="期限卡",MAX(0,I320-TODAY()),"—"))</f>
        <v/>
      </c>
      <c r="Q320" s="31">
        <f>IF(A320="","",IF(F320="次卡",IF(OR(K320="",K320=0,M320=0),"",K320/M320),IF(F320="期限卡",IF(AND(K320&lt;&gt;"",K320&lt;&gt;0,I320&gt;H320),K320/(I320-H320),""),"")))</f>
        <v/>
      </c>
      <c r="R320" s="31">
        <f>IF(A320="","",IF(F320="次卡",IF(OR(K320="",K320=0,M320=0),"",Q320*O320),IF(F320="期限卡",IF(AND(K320&lt;&gt;"",K320&lt;&gt;0,I320&gt;H320),Q320*P320,""),"")))</f>
        <v/>
      </c>
      <c r="S320" s="58">
        <f>IF(A320="","",IFERROR(_xlfn.MAXIFS(上课记录!$D:$D,上课记录!$B:$B,A320,上课记录!$J:$J,"是"),""))</f>
        <v/>
      </c>
      <c r="T320" s="31">
        <f>IF(A320="","",IF(S320="","",TODAY()-S320))</f>
        <v/>
      </c>
      <c r="U320" s="31">
        <f>IF(A320="","",IF(OR(AND(F320="次卡",O320=0),AND(F320="期限卡",P320=0)),"已到期",IF(T320&gt;=10,"沉睡客户",IF(T320&gt;=7,"预警客户","正常"))))</f>
        <v/>
      </c>
      <c r="V320" s="11" t="n"/>
      <c r="W320" s="11" t="n"/>
    </row>
    <row r="321">
      <c r="A321" s="44" t="n"/>
      <c r="B321" s="11" t="n"/>
      <c r="C321" s="11" t="n"/>
      <c r="D321" s="11" t="n"/>
      <c r="E321" s="11" t="n"/>
      <c r="F321" s="11" t="n"/>
      <c r="G321" s="55" t="n"/>
      <c r="H321" s="55" t="n"/>
      <c r="I321" s="55" t="n"/>
      <c r="J321" s="11" t="n"/>
      <c r="K321" s="56" t="n"/>
      <c r="L321" s="46">
        <f>K321-J321</f>
        <v/>
      </c>
      <c r="M321" s="47" t="n"/>
      <c r="N321" s="48">
        <f>IF(A321="","",COUNTIFS(上课记录!$B:$B,A321,上课记录!$J:$J,"是"))</f>
        <v/>
      </c>
      <c r="O321" s="31">
        <f>IF(A321="","",IF(F321="次卡",MAX(0,M321-N321),"—"))</f>
        <v/>
      </c>
      <c r="P321" s="31">
        <f>IF(A321="","",IF(F321="期限卡",MAX(0,I321-TODAY()),"—"))</f>
        <v/>
      </c>
      <c r="Q321" s="31">
        <f>IF(A321="","",IF(F321="次卡",IF(OR(K321="",K321=0,M321=0),"",K321/M321),IF(F321="期限卡",IF(AND(K321&lt;&gt;"",K321&lt;&gt;0,I321&gt;H321),K321/(I321-H321),""),"")))</f>
        <v/>
      </c>
      <c r="R321" s="31">
        <f>IF(A321="","",IF(F321="次卡",IF(OR(K321="",K321=0,M321=0),"",Q321*O321),IF(F321="期限卡",IF(AND(K321&lt;&gt;"",K321&lt;&gt;0,I321&gt;H321),Q321*P321,""),"")))</f>
        <v/>
      </c>
      <c r="S321" s="58">
        <f>IF(A321="","",IFERROR(_xlfn.MAXIFS(上课记录!$D:$D,上课记录!$B:$B,A321,上课记录!$J:$J,"是"),""))</f>
        <v/>
      </c>
      <c r="T321" s="31">
        <f>IF(A321="","",IF(S321="","",TODAY()-S321))</f>
        <v/>
      </c>
      <c r="U321" s="31">
        <f>IF(A321="","",IF(OR(AND(F321="次卡",O321=0),AND(F321="期限卡",P321=0)),"已到期",IF(T321&gt;=10,"沉睡客户",IF(T321&gt;=7,"预警客户","正常"))))</f>
        <v/>
      </c>
      <c r="V321" s="11" t="n"/>
      <c r="W321" s="11" t="n"/>
    </row>
    <row r="322">
      <c r="A322" s="44" t="n"/>
      <c r="B322" s="11" t="n"/>
      <c r="C322" s="11" t="n"/>
      <c r="D322" s="11" t="n"/>
      <c r="E322" s="11" t="n"/>
      <c r="F322" s="11" t="n"/>
      <c r="G322" s="55" t="n"/>
      <c r="H322" s="55" t="n"/>
      <c r="I322" s="55" t="n"/>
      <c r="J322" s="11" t="n"/>
      <c r="K322" s="56" t="n"/>
      <c r="L322" s="46">
        <f>K322-J322</f>
        <v/>
      </c>
      <c r="M322" s="47" t="n"/>
      <c r="N322" s="48">
        <f>IF(A322="","",COUNTIFS(上课记录!$B:$B,A322,上课记录!$J:$J,"是"))</f>
        <v/>
      </c>
      <c r="O322" s="31">
        <f>IF(A322="","",IF(F322="次卡",MAX(0,M322-N322),"—"))</f>
        <v/>
      </c>
      <c r="P322" s="31">
        <f>IF(A322="","",IF(F322="期限卡",MAX(0,I322-TODAY()),"—"))</f>
        <v/>
      </c>
      <c r="Q322" s="31">
        <f>IF(A322="","",IF(F322="次卡",IF(OR(K322="",K322=0,M322=0),"",K322/M322),IF(F322="期限卡",IF(AND(K322&lt;&gt;"",K322&lt;&gt;0,I322&gt;H322),K322/(I322-H322),""),"")))</f>
        <v/>
      </c>
      <c r="R322" s="31">
        <f>IF(A322="","",IF(F322="次卡",IF(OR(K322="",K322=0,M322=0),"",Q322*O322),IF(F322="期限卡",IF(AND(K322&lt;&gt;"",K322&lt;&gt;0,I322&gt;H322),Q322*P322,""),"")))</f>
        <v/>
      </c>
      <c r="S322" s="58">
        <f>IF(A322="","",IFERROR(_xlfn.MAXIFS(上课记录!$D:$D,上课记录!$B:$B,A322,上课记录!$J:$J,"是"),""))</f>
        <v/>
      </c>
      <c r="T322" s="31">
        <f>IF(A322="","",IF(S322="","",TODAY()-S322))</f>
        <v/>
      </c>
      <c r="U322" s="31">
        <f>IF(A322="","",IF(OR(AND(F322="次卡",O322=0),AND(F322="期限卡",P322=0)),"已到期",IF(T322&gt;=10,"沉睡客户",IF(T322&gt;=7,"预警客户","正常"))))</f>
        <v/>
      </c>
      <c r="V322" s="11" t="n"/>
      <c r="W322" s="11" t="n"/>
    </row>
    <row r="323">
      <c r="A323" s="44" t="n"/>
      <c r="B323" s="11" t="n"/>
      <c r="C323" s="11" t="n"/>
      <c r="D323" s="11" t="n"/>
      <c r="E323" s="11" t="n"/>
      <c r="F323" s="11" t="n"/>
      <c r="G323" s="55" t="n"/>
      <c r="H323" s="55" t="n"/>
      <c r="I323" s="55" t="n"/>
      <c r="J323" s="11" t="n"/>
      <c r="K323" s="56" t="n"/>
      <c r="L323" s="46">
        <f>K323-J323</f>
        <v/>
      </c>
      <c r="M323" s="47" t="n"/>
      <c r="N323" s="48">
        <f>IF(A323="","",COUNTIFS(上课记录!$B:$B,A323,上课记录!$J:$J,"是"))</f>
        <v/>
      </c>
      <c r="O323" s="31">
        <f>IF(A323="","",IF(F323="次卡",MAX(0,M323-N323),"—"))</f>
        <v/>
      </c>
      <c r="P323" s="31">
        <f>IF(A323="","",IF(F323="期限卡",MAX(0,I323-TODAY()),"—"))</f>
        <v/>
      </c>
      <c r="Q323" s="31">
        <f>IF(A323="","",IF(F323="次卡",IF(OR(K323="",K323=0,M323=0),"",K323/M323),IF(F323="期限卡",IF(AND(K323&lt;&gt;"",K323&lt;&gt;0,I323&gt;H323),K323/(I323-H323),""),"")))</f>
        <v/>
      </c>
      <c r="R323" s="31">
        <f>IF(A323="","",IF(F323="次卡",IF(OR(K323="",K323=0,M323=0),"",Q323*O323),IF(F323="期限卡",IF(AND(K323&lt;&gt;"",K323&lt;&gt;0,I323&gt;H323),Q323*P323,""),"")))</f>
        <v/>
      </c>
      <c r="S323" s="58">
        <f>IF(A323="","",IFERROR(_xlfn.MAXIFS(上课记录!$D:$D,上课记录!$B:$B,A323,上课记录!$J:$J,"是"),""))</f>
        <v/>
      </c>
      <c r="T323" s="31">
        <f>IF(A323="","",IF(S323="","",TODAY()-S323))</f>
        <v/>
      </c>
      <c r="U323" s="31">
        <f>IF(A323="","",IF(OR(AND(F323="次卡",O323=0),AND(F323="期限卡",P323=0)),"已到期",IF(T323&gt;=10,"沉睡客户",IF(T323&gt;=7,"预警客户","正常"))))</f>
        <v/>
      </c>
      <c r="V323" s="11" t="n"/>
      <c r="W323" s="11" t="n"/>
    </row>
    <row r="324">
      <c r="A324" s="44" t="n"/>
      <c r="B324" s="11" t="n"/>
      <c r="C324" s="11" t="n"/>
      <c r="D324" s="11" t="n"/>
      <c r="E324" s="11" t="n"/>
      <c r="F324" s="11" t="n"/>
      <c r="G324" s="55" t="n"/>
      <c r="H324" s="55" t="n"/>
      <c r="I324" s="55" t="n"/>
      <c r="J324" s="11" t="n"/>
      <c r="K324" s="56" t="n"/>
      <c r="L324" s="46">
        <f>K324-J324</f>
        <v/>
      </c>
      <c r="M324" s="47" t="n"/>
      <c r="N324" s="48">
        <f>IF(A324="","",COUNTIFS(上课记录!$B:$B,A324,上课记录!$J:$J,"是"))</f>
        <v/>
      </c>
      <c r="O324" s="31">
        <f>IF(A324="","",IF(F324="次卡",MAX(0,M324-N324),"—"))</f>
        <v/>
      </c>
      <c r="P324" s="31">
        <f>IF(A324="","",IF(F324="期限卡",MAX(0,I324-TODAY()),"—"))</f>
        <v/>
      </c>
      <c r="Q324" s="31">
        <f>IF(A324="","",IF(F324="次卡",IF(OR(K324="",K324=0,M324=0),"",K324/M324),IF(F324="期限卡",IF(AND(K324&lt;&gt;"",K324&lt;&gt;0,I324&gt;H324),K324/(I324-H324),""),"")))</f>
        <v/>
      </c>
      <c r="R324" s="31">
        <f>IF(A324="","",IF(F324="次卡",IF(OR(K324="",K324=0,M324=0),"",Q324*O324),IF(F324="期限卡",IF(AND(K324&lt;&gt;"",K324&lt;&gt;0,I324&gt;H324),Q324*P324,""),"")))</f>
        <v/>
      </c>
      <c r="S324" s="58">
        <f>IF(A324="","",IFERROR(_xlfn.MAXIFS(上课记录!$D:$D,上课记录!$B:$B,A324,上课记录!$J:$J,"是"),""))</f>
        <v/>
      </c>
      <c r="T324" s="31">
        <f>IF(A324="","",IF(S324="","",TODAY()-S324))</f>
        <v/>
      </c>
      <c r="U324" s="31">
        <f>IF(A324="","",IF(OR(AND(F324="次卡",O324=0),AND(F324="期限卡",P324=0)),"已到期",IF(T324&gt;=10,"沉睡客户",IF(T324&gt;=7,"预警客户","正常"))))</f>
        <v/>
      </c>
      <c r="V324" s="11" t="n"/>
      <c r="W324" s="11" t="n"/>
    </row>
    <row r="325">
      <c r="A325" s="44" t="n"/>
      <c r="B325" s="11" t="n"/>
      <c r="C325" s="11" t="n"/>
      <c r="D325" s="11" t="n"/>
      <c r="E325" s="11" t="n"/>
      <c r="F325" s="11" t="n"/>
      <c r="G325" s="55" t="n"/>
      <c r="H325" s="55" t="n"/>
      <c r="I325" s="55" t="n"/>
      <c r="J325" s="11" t="n"/>
      <c r="K325" s="56" t="n"/>
      <c r="L325" s="46">
        <f>K325-J325</f>
        <v/>
      </c>
      <c r="M325" s="47" t="n"/>
      <c r="N325" s="48">
        <f>IF(A325="","",COUNTIFS(上课记录!$B:$B,A325,上课记录!$J:$J,"是"))</f>
        <v/>
      </c>
      <c r="O325" s="31">
        <f>IF(A325="","",IF(F325="次卡",MAX(0,M325-N325),"—"))</f>
        <v/>
      </c>
      <c r="P325" s="31">
        <f>IF(A325="","",IF(F325="期限卡",MAX(0,I325-TODAY()),"—"))</f>
        <v/>
      </c>
      <c r="Q325" s="31">
        <f>IF(A325="","",IF(F325="次卡",IF(OR(K325="",K325=0,M325=0),"",K325/M325),IF(F325="期限卡",IF(AND(K325&lt;&gt;"",K325&lt;&gt;0,I325&gt;H325),K325/(I325-H325),""),"")))</f>
        <v/>
      </c>
      <c r="R325" s="31">
        <f>IF(A325="","",IF(F325="次卡",IF(OR(K325="",K325=0,M325=0),"",Q325*O325),IF(F325="期限卡",IF(AND(K325&lt;&gt;"",K325&lt;&gt;0,I325&gt;H325),Q325*P325,""),"")))</f>
        <v/>
      </c>
      <c r="S325" s="58">
        <f>IF(A325="","",IFERROR(_xlfn.MAXIFS(上课记录!$D:$D,上课记录!$B:$B,A325,上课记录!$J:$J,"是"),""))</f>
        <v/>
      </c>
      <c r="T325" s="31">
        <f>IF(A325="","",IF(S325="","",TODAY()-S325))</f>
        <v/>
      </c>
      <c r="U325" s="31">
        <f>IF(A325="","",IF(OR(AND(F325="次卡",O325=0),AND(F325="期限卡",P325=0)),"已到期",IF(T325&gt;=10,"沉睡客户",IF(T325&gt;=7,"预警客户","正常"))))</f>
        <v/>
      </c>
      <c r="V325" s="11" t="n"/>
      <c r="W325" s="11" t="n"/>
    </row>
    <row r="326">
      <c r="A326" s="44" t="n"/>
      <c r="B326" s="11" t="n"/>
      <c r="C326" s="11" t="n"/>
      <c r="D326" s="11" t="n"/>
      <c r="E326" s="11" t="n"/>
      <c r="F326" s="11" t="n"/>
      <c r="G326" s="55" t="n"/>
      <c r="H326" s="55" t="n"/>
      <c r="I326" s="55" t="n"/>
      <c r="J326" s="11" t="n"/>
      <c r="K326" s="56" t="n"/>
      <c r="L326" s="46">
        <f>K326-J326</f>
        <v/>
      </c>
      <c r="M326" s="47" t="n"/>
      <c r="N326" s="48">
        <f>IF(A326="","",COUNTIFS(上课记录!$B:$B,A326,上课记录!$J:$J,"是"))</f>
        <v/>
      </c>
      <c r="O326" s="31">
        <f>IF(A326="","",IF(F326="次卡",MAX(0,M326-N326),"—"))</f>
        <v/>
      </c>
      <c r="P326" s="31">
        <f>IF(A326="","",IF(F326="期限卡",MAX(0,I326-TODAY()),"—"))</f>
        <v/>
      </c>
      <c r="Q326" s="31">
        <f>IF(A326="","",IF(F326="次卡",IF(OR(K326="",K326=0,M326=0),"",K326/M326),IF(F326="期限卡",IF(AND(K326&lt;&gt;"",K326&lt;&gt;0,I326&gt;H326),K326/(I326-H326),""),"")))</f>
        <v/>
      </c>
      <c r="R326" s="31">
        <f>IF(A326="","",IF(F326="次卡",IF(OR(K326="",K326=0,M326=0),"",Q326*O326),IF(F326="期限卡",IF(AND(K326&lt;&gt;"",K326&lt;&gt;0,I326&gt;H326),Q326*P326,""),"")))</f>
        <v/>
      </c>
      <c r="S326" s="58">
        <f>IF(A326="","",IFERROR(_xlfn.MAXIFS(上课记录!$D:$D,上课记录!$B:$B,A326,上课记录!$J:$J,"是"),""))</f>
        <v/>
      </c>
      <c r="T326" s="31">
        <f>IF(A326="","",IF(S326="","",TODAY()-S326))</f>
        <v/>
      </c>
      <c r="U326" s="31">
        <f>IF(A326="","",IF(OR(AND(F326="次卡",O326=0),AND(F326="期限卡",P326=0)),"已到期",IF(T326&gt;=10,"沉睡客户",IF(T326&gt;=7,"预警客户","正常"))))</f>
        <v/>
      </c>
      <c r="V326" s="11" t="n"/>
      <c r="W326" s="11" t="n"/>
    </row>
    <row r="327">
      <c r="A327" s="44" t="n"/>
      <c r="B327" s="11" t="n"/>
      <c r="C327" s="11" t="n"/>
      <c r="D327" s="11" t="n"/>
      <c r="E327" s="11" t="n"/>
      <c r="F327" s="11" t="n"/>
      <c r="G327" s="55" t="n"/>
      <c r="H327" s="55" t="n"/>
      <c r="I327" s="55" t="n"/>
      <c r="J327" s="11" t="n"/>
      <c r="K327" s="56" t="n"/>
      <c r="L327" s="46">
        <f>K327-J327</f>
        <v/>
      </c>
      <c r="M327" s="47" t="n"/>
      <c r="N327" s="48">
        <f>IF(A327="","",COUNTIFS(上课记录!$B:$B,A327,上课记录!$J:$J,"是"))</f>
        <v/>
      </c>
      <c r="O327" s="31">
        <f>IF(A327="","",IF(F327="次卡",MAX(0,M327-N327),"—"))</f>
        <v/>
      </c>
      <c r="P327" s="31">
        <f>IF(A327="","",IF(F327="期限卡",MAX(0,I327-TODAY()),"—"))</f>
        <v/>
      </c>
      <c r="Q327" s="31">
        <f>IF(A327="","",IF(F327="次卡",IF(OR(K327="",K327=0,M327=0),"",K327/M327),IF(F327="期限卡",IF(AND(K327&lt;&gt;"",K327&lt;&gt;0,I327&gt;H327),K327/(I327-H327),""),"")))</f>
        <v/>
      </c>
      <c r="R327" s="31">
        <f>IF(A327="","",IF(F327="次卡",IF(OR(K327="",K327=0,M327=0),"",Q327*O327),IF(F327="期限卡",IF(AND(K327&lt;&gt;"",K327&lt;&gt;0,I327&gt;H327),Q327*P327,""),"")))</f>
        <v/>
      </c>
      <c r="S327" s="58">
        <f>IF(A327="","",IFERROR(_xlfn.MAXIFS(上课记录!$D:$D,上课记录!$B:$B,A327,上课记录!$J:$J,"是"),""))</f>
        <v/>
      </c>
      <c r="T327" s="31">
        <f>IF(A327="","",IF(S327="","",TODAY()-S327))</f>
        <v/>
      </c>
      <c r="U327" s="31">
        <f>IF(A327="","",IF(OR(AND(F327="次卡",O327=0),AND(F327="期限卡",P327=0)),"已到期",IF(T327&gt;=10,"沉睡客户",IF(T327&gt;=7,"预警客户","正常"))))</f>
        <v/>
      </c>
      <c r="V327" s="11" t="n"/>
      <c r="W327" s="11" t="n"/>
    </row>
    <row r="328">
      <c r="A328" s="44" t="n"/>
      <c r="B328" s="11" t="n"/>
      <c r="C328" s="11" t="n"/>
      <c r="D328" s="11" t="n"/>
      <c r="E328" s="11" t="n"/>
      <c r="F328" s="11" t="n"/>
      <c r="G328" s="55" t="n"/>
      <c r="H328" s="55" t="n"/>
      <c r="I328" s="55" t="n"/>
      <c r="J328" s="11" t="n"/>
      <c r="K328" s="56" t="n"/>
      <c r="L328" s="46">
        <f>K328-J328</f>
        <v/>
      </c>
      <c r="M328" s="47" t="n"/>
      <c r="N328" s="48">
        <f>IF(A328="","",COUNTIFS(上课记录!$B:$B,A328,上课记录!$J:$J,"是"))</f>
        <v/>
      </c>
      <c r="O328" s="31">
        <f>IF(A328="","",IF(F328="次卡",MAX(0,M328-N328),"—"))</f>
        <v/>
      </c>
      <c r="P328" s="31">
        <f>IF(A328="","",IF(F328="期限卡",MAX(0,I328-TODAY()),"—"))</f>
        <v/>
      </c>
      <c r="Q328" s="31">
        <f>IF(A328="","",IF(F328="次卡",IF(OR(K328="",K328=0,M328=0),"",K328/M328),IF(F328="期限卡",IF(AND(K328&lt;&gt;"",K328&lt;&gt;0,I328&gt;H328),K328/(I328-H328),""),"")))</f>
        <v/>
      </c>
      <c r="R328" s="31">
        <f>IF(A328="","",IF(F328="次卡",IF(OR(K328="",K328=0,M328=0),"",Q328*O328),IF(F328="期限卡",IF(AND(K328&lt;&gt;"",K328&lt;&gt;0,I328&gt;H328),Q328*P328,""),"")))</f>
        <v/>
      </c>
      <c r="S328" s="58">
        <f>IF(A328="","",IFERROR(_xlfn.MAXIFS(上课记录!$D:$D,上课记录!$B:$B,A328,上课记录!$J:$J,"是"),""))</f>
        <v/>
      </c>
      <c r="T328" s="31">
        <f>IF(A328="","",IF(S328="","",TODAY()-S328))</f>
        <v/>
      </c>
      <c r="U328" s="31">
        <f>IF(A328="","",IF(OR(AND(F328="次卡",O328=0),AND(F328="期限卡",P328=0)),"已到期",IF(T328&gt;=10,"沉睡客户",IF(T328&gt;=7,"预警客户","正常"))))</f>
        <v/>
      </c>
      <c r="V328" s="11" t="n"/>
      <c r="W328" s="11" t="n"/>
    </row>
    <row r="329">
      <c r="A329" s="44" t="n"/>
      <c r="B329" s="11" t="n"/>
      <c r="C329" s="11" t="n"/>
      <c r="D329" s="11" t="n"/>
      <c r="E329" s="11" t="n"/>
      <c r="F329" s="11" t="n"/>
      <c r="G329" s="55" t="n"/>
      <c r="H329" s="55" t="n"/>
      <c r="I329" s="55" t="n"/>
      <c r="J329" s="11" t="n"/>
      <c r="K329" s="56" t="n"/>
      <c r="L329" s="46">
        <f>K329-J329</f>
        <v/>
      </c>
      <c r="M329" s="47" t="n"/>
      <c r="N329" s="48">
        <f>IF(A329="","",COUNTIFS(上课记录!$B:$B,A329,上课记录!$J:$J,"是"))</f>
        <v/>
      </c>
      <c r="O329" s="31">
        <f>IF(A329="","",IF(F329="次卡",MAX(0,M329-N329),"—"))</f>
        <v/>
      </c>
      <c r="P329" s="31">
        <f>IF(A329="","",IF(F329="期限卡",MAX(0,I329-TODAY()),"—"))</f>
        <v/>
      </c>
      <c r="Q329" s="31">
        <f>IF(A329="","",IF(F329="次卡",IF(OR(K329="",K329=0,M329=0),"",K329/M329),IF(F329="期限卡",IF(AND(K329&lt;&gt;"",K329&lt;&gt;0,I329&gt;H329),K329/(I329-H329),""),"")))</f>
        <v/>
      </c>
      <c r="R329" s="31">
        <f>IF(A329="","",IF(F329="次卡",IF(OR(K329="",K329=0,M329=0),"",Q329*O329),IF(F329="期限卡",IF(AND(K329&lt;&gt;"",K329&lt;&gt;0,I329&gt;H329),Q329*P329,""),"")))</f>
        <v/>
      </c>
      <c r="S329" s="58">
        <f>IF(A329="","",IFERROR(_xlfn.MAXIFS(上课记录!$D:$D,上课记录!$B:$B,A329,上课记录!$J:$J,"是"),""))</f>
        <v/>
      </c>
      <c r="T329" s="31">
        <f>IF(A329="","",IF(S329="","",TODAY()-S329))</f>
        <v/>
      </c>
      <c r="U329" s="31">
        <f>IF(A329="","",IF(OR(AND(F329="次卡",O329=0),AND(F329="期限卡",P329=0)),"已到期",IF(T329&gt;=10,"沉睡客户",IF(T329&gt;=7,"预警客户","正常"))))</f>
        <v/>
      </c>
      <c r="V329" s="11" t="n"/>
      <c r="W329" s="11" t="n"/>
    </row>
    <row r="330">
      <c r="A330" s="44" t="n"/>
      <c r="B330" s="11" t="n"/>
      <c r="C330" s="11" t="n"/>
      <c r="D330" s="11" t="n"/>
      <c r="E330" s="11" t="n"/>
      <c r="F330" s="11" t="n"/>
      <c r="G330" s="55" t="n"/>
      <c r="H330" s="55" t="n"/>
      <c r="I330" s="55" t="n"/>
      <c r="J330" s="11" t="n"/>
      <c r="K330" s="56" t="n"/>
      <c r="L330" s="46">
        <f>K330-J330</f>
        <v/>
      </c>
      <c r="M330" s="47" t="n"/>
      <c r="N330" s="48">
        <f>IF(A330="","",COUNTIFS(上课记录!$B:$B,A330,上课记录!$J:$J,"是"))</f>
        <v/>
      </c>
      <c r="O330" s="31">
        <f>IF(A330="","",IF(F330="次卡",MAX(0,M330-N330),"—"))</f>
        <v/>
      </c>
      <c r="P330" s="31">
        <f>IF(A330="","",IF(F330="期限卡",MAX(0,I330-TODAY()),"—"))</f>
        <v/>
      </c>
      <c r="Q330" s="31">
        <f>IF(A330="","",IF(F330="次卡",IF(OR(K330="",K330=0,M330=0),"",K330/M330),IF(F330="期限卡",IF(AND(K330&lt;&gt;"",K330&lt;&gt;0,I330&gt;H330),K330/(I330-H330),""),"")))</f>
        <v/>
      </c>
      <c r="R330" s="31">
        <f>IF(A330="","",IF(F330="次卡",IF(OR(K330="",K330=0,M330=0),"",Q330*O330),IF(F330="期限卡",IF(AND(K330&lt;&gt;"",K330&lt;&gt;0,I330&gt;H330),Q330*P330,""),"")))</f>
        <v/>
      </c>
      <c r="S330" s="58">
        <f>IF(A330="","",IFERROR(_xlfn.MAXIFS(上课记录!$D:$D,上课记录!$B:$B,A330,上课记录!$J:$J,"是"),""))</f>
        <v/>
      </c>
      <c r="T330" s="31">
        <f>IF(A330="","",IF(S330="","",TODAY()-S330))</f>
        <v/>
      </c>
      <c r="U330" s="31">
        <f>IF(A330="","",IF(OR(AND(F330="次卡",O330=0),AND(F330="期限卡",P330=0)),"已到期",IF(T330&gt;=10,"沉睡客户",IF(T330&gt;=7,"预警客户","正常"))))</f>
        <v/>
      </c>
      <c r="V330" s="11" t="n"/>
      <c r="W330" s="11" t="n"/>
    </row>
    <row r="331">
      <c r="A331" s="44" t="n"/>
      <c r="B331" s="11" t="n"/>
      <c r="C331" s="11" t="n"/>
      <c r="D331" s="11" t="n"/>
      <c r="E331" s="11" t="n"/>
      <c r="F331" s="11" t="n"/>
      <c r="G331" s="55" t="n"/>
      <c r="H331" s="55" t="n"/>
      <c r="I331" s="55" t="n"/>
      <c r="J331" s="11" t="n"/>
      <c r="K331" s="56" t="n"/>
      <c r="L331" s="46">
        <f>K331-J331</f>
        <v/>
      </c>
      <c r="M331" s="47" t="n"/>
      <c r="N331" s="48">
        <f>IF(A331="","",COUNTIFS(上课记录!$B:$B,A331,上课记录!$J:$J,"是"))</f>
        <v/>
      </c>
      <c r="O331" s="31">
        <f>IF(A331="","",IF(F331="次卡",MAX(0,M331-N331),"—"))</f>
        <v/>
      </c>
      <c r="P331" s="31">
        <f>IF(A331="","",IF(F331="期限卡",MAX(0,I331-TODAY()),"—"))</f>
        <v/>
      </c>
      <c r="Q331" s="31">
        <f>IF(A331="","",IF(F331="次卡",IF(OR(K331="",K331=0,M331=0),"",K331/M331),IF(F331="期限卡",IF(AND(K331&lt;&gt;"",K331&lt;&gt;0,I331&gt;H331),K331/(I331-H331),""),"")))</f>
        <v/>
      </c>
      <c r="R331" s="31">
        <f>IF(A331="","",IF(F331="次卡",IF(OR(K331="",K331=0,M331=0),"",Q331*O331),IF(F331="期限卡",IF(AND(K331&lt;&gt;"",K331&lt;&gt;0,I331&gt;H331),Q331*P331,""),"")))</f>
        <v/>
      </c>
      <c r="S331" s="58">
        <f>IF(A331="","",IFERROR(_xlfn.MAXIFS(上课记录!$D:$D,上课记录!$B:$B,A331,上课记录!$J:$J,"是"),""))</f>
        <v/>
      </c>
      <c r="T331" s="31">
        <f>IF(A331="","",IF(S331="","",TODAY()-S331))</f>
        <v/>
      </c>
      <c r="U331" s="31">
        <f>IF(A331="","",IF(OR(AND(F331="次卡",O331=0),AND(F331="期限卡",P331=0)),"已到期",IF(T331&gt;=10,"沉睡客户",IF(T331&gt;=7,"预警客户","正常"))))</f>
        <v/>
      </c>
      <c r="V331" s="11" t="n"/>
      <c r="W331" s="11" t="n"/>
    </row>
    <row r="332">
      <c r="A332" s="44" t="n"/>
      <c r="B332" s="11" t="n"/>
      <c r="C332" s="11" t="n"/>
      <c r="D332" s="11" t="n"/>
      <c r="E332" s="11" t="n"/>
      <c r="F332" s="11" t="n"/>
      <c r="G332" s="55" t="n"/>
      <c r="H332" s="55" t="n"/>
      <c r="I332" s="55" t="n"/>
      <c r="J332" s="11" t="n"/>
      <c r="K332" s="56" t="n"/>
      <c r="L332" s="46">
        <f>K332-J332</f>
        <v/>
      </c>
      <c r="M332" s="47" t="n"/>
      <c r="N332" s="48">
        <f>IF(A332="","",COUNTIFS(上课记录!$B:$B,A332,上课记录!$J:$J,"是"))</f>
        <v/>
      </c>
      <c r="O332" s="31">
        <f>IF(A332="","",IF(F332="次卡",MAX(0,M332-N332),"—"))</f>
        <v/>
      </c>
      <c r="P332" s="31">
        <f>IF(A332="","",IF(F332="期限卡",MAX(0,I332-TODAY()),"—"))</f>
        <v/>
      </c>
      <c r="Q332" s="31">
        <f>IF(A332="","",IF(F332="次卡",IF(OR(K332="",K332=0,M332=0),"",K332/M332),IF(F332="期限卡",IF(AND(K332&lt;&gt;"",K332&lt;&gt;0,I332&gt;H332),K332/(I332-H332),""),"")))</f>
        <v/>
      </c>
      <c r="R332" s="31">
        <f>IF(A332="","",IF(F332="次卡",IF(OR(K332="",K332=0,M332=0),"",Q332*O332),IF(F332="期限卡",IF(AND(K332&lt;&gt;"",K332&lt;&gt;0,I332&gt;H332),Q332*P332,""),"")))</f>
        <v/>
      </c>
      <c r="S332" s="58">
        <f>IF(A332="","",IFERROR(_xlfn.MAXIFS(上课记录!$D:$D,上课记录!$B:$B,A332,上课记录!$J:$J,"是"),""))</f>
        <v/>
      </c>
      <c r="T332" s="31">
        <f>IF(A332="","",IF(S332="","",TODAY()-S332))</f>
        <v/>
      </c>
      <c r="U332" s="31">
        <f>IF(A332="","",IF(OR(AND(F332="次卡",O332=0),AND(F332="期限卡",P332=0)),"已到期",IF(T332&gt;=10,"沉睡客户",IF(T332&gt;=7,"预警客户","正常"))))</f>
        <v/>
      </c>
      <c r="V332" s="11" t="n"/>
      <c r="W332" s="11" t="n"/>
    </row>
    <row r="333">
      <c r="A333" s="44" t="n"/>
      <c r="B333" s="11" t="n"/>
      <c r="C333" s="11" t="n"/>
      <c r="D333" s="11" t="n"/>
      <c r="E333" s="11" t="n"/>
      <c r="F333" s="11" t="n"/>
      <c r="G333" s="55" t="n"/>
      <c r="H333" s="55" t="n"/>
      <c r="I333" s="55" t="n"/>
      <c r="J333" s="11" t="n"/>
      <c r="K333" s="56" t="n"/>
      <c r="L333" s="46">
        <f>K333-J333</f>
        <v/>
      </c>
      <c r="M333" s="47" t="n"/>
      <c r="N333" s="48">
        <f>IF(A333="","",COUNTIFS(上课记录!$B:$B,A333,上课记录!$J:$J,"是"))</f>
        <v/>
      </c>
      <c r="O333" s="31">
        <f>IF(A333="","",IF(F333="次卡",MAX(0,M333-N333),"—"))</f>
        <v/>
      </c>
      <c r="P333" s="31">
        <f>IF(A333="","",IF(F333="期限卡",MAX(0,I333-TODAY()),"—"))</f>
        <v/>
      </c>
      <c r="Q333" s="31">
        <f>IF(A333="","",IF(F333="次卡",IF(OR(K333="",K333=0,M333=0),"",K333/M333),IF(F333="期限卡",IF(AND(K333&lt;&gt;"",K333&lt;&gt;0,I333&gt;H333),K333/(I333-H333),""),"")))</f>
        <v/>
      </c>
      <c r="R333" s="31">
        <f>IF(A333="","",IF(F333="次卡",IF(OR(K333="",K333=0,M333=0),"",Q333*O333),IF(F333="期限卡",IF(AND(K333&lt;&gt;"",K333&lt;&gt;0,I333&gt;H333),Q333*P333,""),"")))</f>
        <v/>
      </c>
      <c r="S333" s="58">
        <f>IF(A333="","",IFERROR(_xlfn.MAXIFS(上课记录!$D:$D,上课记录!$B:$B,A333,上课记录!$J:$J,"是"),""))</f>
        <v/>
      </c>
      <c r="T333" s="31">
        <f>IF(A333="","",IF(S333="","",TODAY()-S333))</f>
        <v/>
      </c>
      <c r="U333" s="31">
        <f>IF(A333="","",IF(OR(AND(F333="次卡",O333=0),AND(F333="期限卡",P333=0)),"已到期",IF(T333&gt;=10,"沉睡客户",IF(T333&gt;=7,"预警客户","正常"))))</f>
        <v/>
      </c>
      <c r="V333" s="11" t="n"/>
      <c r="W333" s="11" t="n"/>
    </row>
    <row r="334">
      <c r="A334" s="44" t="n"/>
      <c r="B334" s="11" t="n"/>
      <c r="C334" s="11" t="n"/>
      <c r="D334" s="11" t="n"/>
      <c r="E334" s="11" t="n"/>
      <c r="F334" s="11" t="n"/>
      <c r="G334" s="55" t="n"/>
      <c r="H334" s="55" t="n"/>
      <c r="I334" s="55" t="n"/>
      <c r="J334" s="11" t="n"/>
      <c r="K334" s="56" t="n"/>
      <c r="L334" s="46">
        <f>K334-J334</f>
        <v/>
      </c>
      <c r="M334" s="47" t="n"/>
      <c r="N334" s="48">
        <f>IF(A334="","",COUNTIFS(上课记录!$B:$B,A334,上课记录!$J:$J,"是"))</f>
        <v/>
      </c>
      <c r="O334" s="31">
        <f>IF(A334="","",IF(F334="次卡",MAX(0,M334-N334),"—"))</f>
        <v/>
      </c>
      <c r="P334" s="31">
        <f>IF(A334="","",IF(F334="期限卡",MAX(0,I334-TODAY()),"—"))</f>
        <v/>
      </c>
      <c r="Q334" s="31">
        <f>IF(A334="","",IF(F334="次卡",IF(OR(K334="",K334=0,M334=0),"",K334/M334),IF(F334="期限卡",IF(AND(K334&lt;&gt;"",K334&lt;&gt;0,I334&gt;H334),K334/(I334-H334),""),"")))</f>
        <v/>
      </c>
      <c r="R334" s="31">
        <f>IF(A334="","",IF(F334="次卡",IF(OR(K334="",K334=0,M334=0),"",Q334*O334),IF(F334="期限卡",IF(AND(K334&lt;&gt;"",K334&lt;&gt;0,I334&gt;H334),Q334*P334,""),"")))</f>
        <v/>
      </c>
      <c r="S334" s="58">
        <f>IF(A334="","",IFERROR(_xlfn.MAXIFS(上课记录!$D:$D,上课记录!$B:$B,A334,上课记录!$J:$J,"是"),""))</f>
        <v/>
      </c>
      <c r="T334" s="31">
        <f>IF(A334="","",IF(S334="","",TODAY()-S334))</f>
        <v/>
      </c>
      <c r="U334" s="31">
        <f>IF(A334="","",IF(OR(AND(F334="次卡",O334=0),AND(F334="期限卡",P334=0)),"已到期",IF(T334&gt;=10,"沉睡客户",IF(T334&gt;=7,"预警客户","正常"))))</f>
        <v/>
      </c>
      <c r="V334" s="11" t="n"/>
      <c r="W334" s="11" t="n"/>
    </row>
    <row r="335">
      <c r="A335" s="44" t="n"/>
      <c r="B335" s="11" t="n"/>
      <c r="C335" s="11" t="n"/>
      <c r="D335" s="11" t="n"/>
      <c r="E335" s="11" t="n"/>
      <c r="F335" s="11" t="n"/>
      <c r="G335" s="55" t="n"/>
      <c r="H335" s="55" t="n"/>
      <c r="I335" s="55" t="n"/>
      <c r="J335" s="11" t="n"/>
      <c r="K335" s="56" t="n"/>
      <c r="L335" s="46">
        <f>K335-J335</f>
        <v/>
      </c>
      <c r="M335" s="47" t="n"/>
      <c r="N335" s="48">
        <f>IF(A335="","",COUNTIFS(上课记录!$B:$B,A335,上课记录!$J:$J,"是"))</f>
        <v/>
      </c>
      <c r="O335" s="31">
        <f>IF(A335="","",IF(F335="次卡",MAX(0,M335-N335),"—"))</f>
        <v/>
      </c>
      <c r="P335" s="31">
        <f>IF(A335="","",IF(F335="期限卡",MAX(0,I335-TODAY()),"—"))</f>
        <v/>
      </c>
      <c r="Q335" s="31">
        <f>IF(A335="","",IF(F335="次卡",IF(OR(K335="",K335=0,M335=0),"",K335/M335),IF(F335="期限卡",IF(AND(K335&lt;&gt;"",K335&lt;&gt;0,I335&gt;H335),K335/(I335-H335),""),"")))</f>
        <v/>
      </c>
      <c r="R335" s="31">
        <f>IF(A335="","",IF(F335="次卡",IF(OR(K335="",K335=0,M335=0),"",Q335*O335),IF(F335="期限卡",IF(AND(K335&lt;&gt;"",K335&lt;&gt;0,I335&gt;H335),Q335*P335,""),"")))</f>
        <v/>
      </c>
      <c r="S335" s="58">
        <f>IF(A335="","",IFERROR(_xlfn.MAXIFS(上课记录!$D:$D,上课记录!$B:$B,A335,上课记录!$J:$J,"是"),""))</f>
        <v/>
      </c>
      <c r="T335" s="31">
        <f>IF(A335="","",IF(S335="","",TODAY()-S335))</f>
        <v/>
      </c>
      <c r="U335" s="31">
        <f>IF(A335="","",IF(OR(AND(F335="次卡",O335=0),AND(F335="期限卡",P335=0)),"已到期",IF(T335&gt;=10,"沉睡客户",IF(T335&gt;=7,"预警客户","正常"))))</f>
        <v/>
      </c>
      <c r="V335" s="11" t="n"/>
      <c r="W335" s="11" t="n"/>
    </row>
    <row r="336">
      <c r="A336" s="44" t="n"/>
      <c r="B336" s="11" t="n"/>
      <c r="C336" s="11" t="n"/>
      <c r="D336" s="11" t="n"/>
      <c r="E336" s="11" t="n"/>
      <c r="F336" s="11" t="n"/>
      <c r="G336" s="55" t="n"/>
      <c r="H336" s="55" t="n"/>
      <c r="I336" s="55" t="n"/>
      <c r="J336" s="11" t="n"/>
      <c r="K336" s="56" t="n"/>
      <c r="L336" s="46">
        <f>K336-J336</f>
        <v/>
      </c>
      <c r="M336" s="47" t="n"/>
      <c r="N336" s="48">
        <f>IF(A336="","",COUNTIFS(上课记录!$B:$B,A336,上课记录!$J:$J,"是"))</f>
        <v/>
      </c>
      <c r="O336" s="31">
        <f>IF(A336="","",IF(F336="次卡",MAX(0,M336-N336),"—"))</f>
        <v/>
      </c>
      <c r="P336" s="31">
        <f>IF(A336="","",IF(F336="期限卡",MAX(0,I336-TODAY()),"—"))</f>
        <v/>
      </c>
      <c r="Q336" s="31">
        <f>IF(A336="","",IF(F336="次卡",IF(OR(K336="",K336=0,M336=0),"",K336/M336),IF(F336="期限卡",IF(AND(K336&lt;&gt;"",K336&lt;&gt;0,I336&gt;H336),K336/(I336-H336),""),"")))</f>
        <v/>
      </c>
      <c r="R336" s="31">
        <f>IF(A336="","",IF(F336="次卡",IF(OR(K336="",K336=0,M336=0),"",Q336*O336),IF(F336="期限卡",IF(AND(K336&lt;&gt;"",K336&lt;&gt;0,I336&gt;H336),Q336*P336,""),"")))</f>
        <v/>
      </c>
      <c r="S336" s="58">
        <f>IF(A336="","",IFERROR(_xlfn.MAXIFS(上课记录!$D:$D,上课记录!$B:$B,A336,上课记录!$J:$J,"是"),""))</f>
        <v/>
      </c>
      <c r="T336" s="31">
        <f>IF(A336="","",IF(S336="","",TODAY()-S336))</f>
        <v/>
      </c>
      <c r="U336" s="31">
        <f>IF(A336="","",IF(OR(AND(F336="次卡",O336=0),AND(F336="期限卡",P336=0)),"已到期",IF(T336&gt;=10,"沉睡客户",IF(T336&gt;=7,"预警客户","正常"))))</f>
        <v/>
      </c>
      <c r="V336" s="11" t="n"/>
      <c r="W336" s="11" t="n"/>
    </row>
    <row r="337">
      <c r="A337" s="44" t="n"/>
      <c r="B337" s="11" t="n"/>
      <c r="C337" s="11" t="n"/>
      <c r="D337" s="11" t="n"/>
      <c r="E337" s="11" t="n"/>
      <c r="F337" s="11" t="n"/>
      <c r="G337" s="55" t="n"/>
      <c r="H337" s="55" t="n"/>
      <c r="I337" s="55" t="n"/>
      <c r="J337" s="11" t="n"/>
      <c r="K337" s="56" t="n"/>
      <c r="L337" s="46">
        <f>K337-J337</f>
        <v/>
      </c>
      <c r="M337" s="47" t="n"/>
      <c r="N337" s="48">
        <f>IF(A337="","",COUNTIFS(上课记录!$B:$B,A337,上课记录!$J:$J,"是"))</f>
        <v/>
      </c>
      <c r="O337" s="31">
        <f>IF(A337="","",IF(F337="次卡",MAX(0,M337-N337),"—"))</f>
        <v/>
      </c>
      <c r="P337" s="31">
        <f>IF(A337="","",IF(F337="期限卡",MAX(0,I337-TODAY()),"—"))</f>
        <v/>
      </c>
      <c r="Q337" s="31">
        <f>IF(A337="","",IF(F337="次卡",IF(OR(K337="",K337=0,M337=0),"",K337/M337),IF(F337="期限卡",IF(AND(K337&lt;&gt;"",K337&lt;&gt;0,I337&gt;H337),K337/(I337-H337),""),"")))</f>
        <v/>
      </c>
      <c r="R337" s="31">
        <f>IF(A337="","",IF(F337="次卡",IF(OR(K337="",K337=0,M337=0),"",Q337*O337),IF(F337="期限卡",IF(AND(K337&lt;&gt;"",K337&lt;&gt;0,I337&gt;H337),Q337*P337,""),"")))</f>
        <v/>
      </c>
      <c r="S337" s="58">
        <f>IF(A337="","",IFERROR(_xlfn.MAXIFS(上课记录!$D:$D,上课记录!$B:$B,A337,上课记录!$J:$J,"是"),""))</f>
        <v/>
      </c>
      <c r="T337" s="31">
        <f>IF(A337="","",IF(S337="","",TODAY()-S337))</f>
        <v/>
      </c>
      <c r="U337" s="31">
        <f>IF(A337="","",IF(OR(AND(F337="次卡",O337=0),AND(F337="期限卡",P337=0)),"已到期",IF(T337&gt;=10,"沉睡客户",IF(T337&gt;=7,"预警客户","正常"))))</f>
        <v/>
      </c>
      <c r="V337" s="11" t="n"/>
      <c r="W337" s="11" t="n"/>
    </row>
    <row r="338">
      <c r="A338" s="44" t="n"/>
      <c r="B338" s="11" t="n"/>
      <c r="C338" s="11" t="n"/>
      <c r="D338" s="11" t="n"/>
      <c r="E338" s="11" t="n"/>
      <c r="F338" s="11" t="n"/>
      <c r="G338" s="55" t="n"/>
      <c r="H338" s="55" t="n"/>
      <c r="I338" s="55" t="n"/>
      <c r="J338" s="11" t="n"/>
      <c r="K338" s="56" t="n"/>
      <c r="L338" s="46">
        <f>K338-J338</f>
        <v/>
      </c>
      <c r="M338" s="47" t="n"/>
      <c r="N338" s="48">
        <f>IF(A338="","",COUNTIFS(上课记录!$B:$B,A338,上课记录!$J:$J,"是"))</f>
        <v/>
      </c>
      <c r="O338" s="31">
        <f>IF(A338="","",IF(F338="次卡",MAX(0,M338-N338),"—"))</f>
        <v/>
      </c>
      <c r="P338" s="31">
        <f>IF(A338="","",IF(F338="期限卡",MAX(0,I338-TODAY()),"—"))</f>
        <v/>
      </c>
      <c r="Q338" s="31">
        <f>IF(A338="","",IF(F338="次卡",IF(OR(K338="",K338=0,M338=0),"",K338/M338),IF(F338="期限卡",IF(AND(K338&lt;&gt;"",K338&lt;&gt;0,I338&gt;H338),K338/(I338-H338),""),"")))</f>
        <v/>
      </c>
      <c r="R338" s="31">
        <f>IF(A338="","",IF(F338="次卡",IF(OR(K338="",K338=0,M338=0),"",Q338*O338),IF(F338="期限卡",IF(AND(K338&lt;&gt;"",K338&lt;&gt;0,I338&gt;H338),Q338*P338,""),"")))</f>
        <v/>
      </c>
      <c r="S338" s="58">
        <f>IF(A338="","",IFERROR(_xlfn.MAXIFS(上课记录!$D:$D,上课记录!$B:$B,A338,上课记录!$J:$J,"是"),""))</f>
        <v/>
      </c>
      <c r="T338" s="31">
        <f>IF(A338="","",IF(S338="","",TODAY()-S338))</f>
        <v/>
      </c>
      <c r="U338" s="31">
        <f>IF(A338="","",IF(OR(AND(F338="次卡",O338=0),AND(F338="期限卡",P338=0)),"已到期",IF(T338&gt;=10,"沉睡客户",IF(T338&gt;=7,"预警客户","正常"))))</f>
        <v/>
      </c>
      <c r="V338" s="11" t="n"/>
      <c r="W338" s="11" t="n"/>
    </row>
    <row r="339">
      <c r="A339" s="44" t="n"/>
      <c r="B339" s="11" t="n"/>
      <c r="C339" s="11" t="n"/>
      <c r="D339" s="11" t="n"/>
      <c r="E339" s="11" t="n"/>
      <c r="F339" s="11" t="n"/>
      <c r="G339" s="55" t="n"/>
      <c r="H339" s="55" t="n"/>
      <c r="I339" s="55" t="n"/>
      <c r="J339" s="11" t="n"/>
      <c r="K339" s="56" t="n"/>
      <c r="L339" s="46">
        <f>K339-J339</f>
        <v/>
      </c>
      <c r="M339" s="47" t="n"/>
      <c r="N339" s="48">
        <f>IF(A339="","",COUNTIFS(上课记录!$B:$B,A339,上课记录!$J:$J,"是"))</f>
        <v/>
      </c>
      <c r="O339" s="31">
        <f>IF(A339="","",IF(F339="次卡",MAX(0,M339-N339),"—"))</f>
        <v/>
      </c>
      <c r="P339" s="31">
        <f>IF(A339="","",IF(F339="期限卡",MAX(0,I339-TODAY()),"—"))</f>
        <v/>
      </c>
      <c r="Q339" s="31">
        <f>IF(A339="","",IF(F339="次卡",IF(OR(K339="",K339=0,M339=0),"",K339/M339),IF(F339="期限卡",IF(AND(K339&lt;&gt;"",K339&lt;&gt;0,I339&gt;H339),K339/(I339-H339),""),"")))</f>
        <v/>
      </c>
      <c r="R339" s="31">
        <f>IF(A339="","",IF(F339="次卡",IF(OR(K339="",K339=0,M339=0),"",Q339*O339),IF(F339="期限卡",IF(AND(K339&lt;&gt;"",K339&lt;&gt;0,I339&gt;H339),Q339*P339,""),"")))</f>
        <v/>
      </c>
      <c r="S339" s="58">
        <f>IF(A339="","",IFERROR(_xlfn.MAXIFS(上课记录!$D:$D,上课记录!$B:$B,A339,上课记录!$J:$J,"是"),""))</f>
        <v/>
      </c>
      <c r="T339" s="31">
        <f>IF(A339="","",IF(S339="","",TODAY()-S339))</f>
        <v/>
      </c>
      <c r="U339" s="31">
        <f>IF(A339="","",IF(OR(AND(F339="次卡",O339=0),AND(F339="期限卡",P339=0)),"已到期",IF(T339&gt;=10,"沉睡客户",IF(T339&gt;=7,"预警客户","正常"))))</f>
        <v/>
      </c>
      <c r="V339" s="11" t="n"/>
      <c r="W339" s="11" t="n"/>
    </row>
    <row r="340">
      <c r="A340" s="44" t="n"/>
      <c r="B340" s="11" t="n"/>
      <c r="C340" s="11" t="n"/>
      <c r="D340" s="11" t="n"/>
      <c r="E340" s="11" t="n"/>
      <c r="F340" s="11" t="n"/>
      <c r="G340" s="55" t="n"/>
      <c r="H340" s="55" t="n"/>
      <c r="I340" s="55" t="n"/>
      <c r="J340" s="11" t="n"/>
      <c r="K340" s="56" t="n"/>
      <c r="L340" s="46">
        <f>K340-J340</f>
        <v/>
      </c>
      <c r="M340" s="47" t="n"/>
      <c r="N340" s="48">
        <f>IF(A340="","",COUNTIFS(上课记录!$B:$B,A340,上课记录!$J:$J,"是"))</f>
        <v/>
      </c>
      <c r="O340" s="31">
        <f>IF(A340="","",IF(F340="次卡",MAX(0,M340-N340),"—"))</f>
        <v/>
      </c>
      <c r="P340" s="31">
        <f>IF(A340="","",IF(F340="期限卡",MAX(0,I340-TODAY()),"—"))</f>
        <v/>
      </c>
      <c r="Q340" s="31">
        <f>IF(A340="","",IF(F340="次卡",IF(OR(K340="",K340=0,M340=0),"",K340/M340),IF(F340="期限卡",IF(AND(K340&lt;&gt;"",K340&lt;&gt;0,I340&gt;H340),K340/(I340-H340),""),"")))</f>
        <v/>
      </c>
      <c r="R340" s="31">
        <f>IF(A340="","",IF(F340="次卡",IF(OR(K340="",K340=0,M340=0),"",Q340*O340),IF(F340="期限卡",IF(AND(K340&lt;&gt;"",K340&lt;&gt;0,I340&gt;H340),Q340*P340,""),"")))</f>
        <v/>
      </c>
      <c r="S340" s="58">
        <f>IF(A340="","",IFERROR(_xlfn.MAXIFS(上课记录!$D:$D,上课记录!$B:$B,A340,上课记录!$J:$J,"是"),""))</f>
        <v/>
      </c>
      <c r="T340" s="31">
        <f>IF(A340="","",IF(S340="","",TODAY()-S340))</f>
        <v/>
      </c>
      <c r="U340" s="31">
        <f>IF(A340="","",IF(OR(AND(F340="次卡",O340=0),AND(F340="期限卡",P340=0)),"已到期",IF(T340&gt;=10,"沉睡客户",IF(T340&gt;=7,"预警客户","正常"))))</f>
        <v/>
      </c>
      <c r="V340" s="11" t="n"/>
      <c r="W340" s="11" t="n"/>
    </row>
    <row r="341">
      <c r="A341" s="44" t="n"/>
      <c r="B341" s="11" t="n"/>
      <c r="C341" s="11" t="n"/>
      <c r="D341" s="11" t="n"/>
      <c r="E341" s="11" t="n"/>
      <c r="F341" s="11" t="n"/>
      <c r="G341" s="55" t="n"/>
      <c r="H341" s="55" t="n"/>
      <c r="I341" s="55" t="n"/>
      <c r="J341" s="11" t="n"/>
      <c r="K341" s="56" t="n"/>
      <c r="L341" s="46">
        <f>K341-J341</f>
        <v/>
      </c>
      <c r="M341" s="47" t="n"/>
      <c r="N341" s="48">
        <f>IF(A341="","",COUNTIFS(上课记录!$B:$B,A341,上课记录!$J:$J,"是"))</f>
        <v/>
      </c>
      <c r="O341" s="31">
        <f>IF(A341="","",IF(F341="次卡",MAX(0,M341-N341),"—"))</f>
        <v/>
      </c>
      <c r="P341" s="31">
        <f>IF(A341="","",IF(F341="期限卡",MAX(0,I341-TODAY()),"—"))</f>
        <v/>
      </c>
      <c r="Q341" s="31">
        <f>IF(A341="","",IF(F341="次卡",IF(OR(K341="",K341=0,M341=0),"",K341/M341),IF(F341="期限卡",IF(AND(K341&lt;&gt;"",K341&lt;&gt;0,I341&gt;H341),K341/(I341-H341),""),"")))</f>
        <v/>
      </c>
      <c r="R341" s="31">
        <f>IF(A341="","",IF(F341="次卡",IF(OR(K341="",K341=0,M341=0),"",Q341*O341),IF(F341="期限卡",IF(AND(K341&lt;&gt;"",K341&lt;&gt;0,I341&gt;H341),Q341*P341,""),"")))</f>
        <v/>
      </c>
      <c r="S341" s="58">
        <f>IF(A341="","",IFERROR(_xlfn.MAXIFS(上课记录!$D:$D,上课记录!$B:$B,A341,上课记录!$J:$J,"是"),""))</f>
        <v/>
      </c>
      <c r="T341" s="31">
        <f>IF(A341="","",IF(S341="","",TODAY()-S341))</f>
        <v/>
      </c>
      <c r="U341" s="31">
        <f>IF(A341="","",IF(OR(AND(F341="次卡",O341=0),AND(F341="期限卡",P341=0)),"已到期",IF(T341&gt;=10,"沉睡客户",IF(T341&gt;=7,"预警客户","正常"))))</f>
        <v/>
      </c>
      <c r="V341" s="11" t="n"/>
      <c r="W341" s="11" t="n"/>
    </row>
    <row r="342">
      <c r="A342" s="44" t="n"/>
      <c r="B342" s="11" t="n"/>
      <c r="C342" s="11" t="n"/>
      <c r="D342" s="11" t="n"/>
      <c r="E342" s="11" t="n"/>
      <c r="F342" s="11" t="n"/>
      <c r="G342" s="55" t="n"/>
      <c r="H342" s="55" t="n"/>
      <c r="I342" s="55" t="n"/>
      <c r="J342" s="11" t="n"/>
      <c r="K342" s="56" t="n"/>
      <c r="L342" s="46">
        <f>K342-J342</f>
        <v/>
      </c>
      <c r="M342" s="47" t="n"/>
      <c r="N342" s="48">
        <f>IF(A342="","",COUNTIFS(上课记录!$B:$B,A342,上课记录!$J:$J,"是"))</f>
        <v/>
      </c>
      <c r="O342" s="31">
        <f>IF(A342="","",IF(F342="次卡",MAX(0,M342-N342),"—"))</f>
        <v/>
      </c>
      <c r="P342" s="31">
        <f>IF(A342="","",IF(F342="期限卡",MAX(0,I342-TODAY()),"—"))</f>
        <v/>
      </c>
      <c r="Q342" s="31">
        <f>IF(A342="","",IF(F342="次卡",IF(OR(K342="",K342=0,M342=0),"",K342/M342),IF(F342="期限卡",IF(AND(K342&lt;&gt;"",K342&lt;&gt;0,I342&gt;H342),K342/(I342-H342),""),"")))</f>
        <v/>
      </c>
      <c r="R342" s="31">
        <f>IF(A342="","",IF(F342="次卡",IF(OR(K342="",K342=0,M342=0),"",Q342*O342),IF(F342="期限卡",IF(AND(K342&lt;&gt;"",K342&lt;&gt;0,I342&gt;H342),Q342*P342,""),"")))</f>
        <v/>
      </c>
      <c r="S342" s="58">
        <f>IF(A342="","",IFERROR(_xlfn.MAXIFS(上课记录!$D:$D,上课记录!$B:$B,A342,上课记录!$J:$J,"是"),""))</f>
        <v/>
      </c>
      <c r="T342" s="31">
        <f>IF(A342="","",IF(S342="","",TODAY()-S342))</f>
        <v/>
      </c>
      <c r="U342" s="31">
        <f>IF(A342="","",IF(OR(AND(F342="次卡",O342=0),AND(F342="期限卡",P342=0)),"已到期",IF(T342&gt;=10,"沉睡客户",IF(T342&gt;=7,"预警客户","正常"))))</f>
        <v/>
      </c>
      <c r="V342" s="11" t="n"/>
      <c r="W342" s="11" t="n"/>
    </row>
    <row r="343">
      <c r="A343" s="44" t="n"/>
      <c r="B343" s="11" t="n"/>
      <c r="C343" s="11" t="n"/>
      <c r="D343" s="11" t="n"/>
      <c r="E343" s="11" t="n"/>
      <c r="F343" s="11" t="n"/>
      <c r="G343" s="55" t="n"/>
      <c r="H343" s="55" t="n"/>
      <c r="I343" s="55" t="n"/>
      <c r="J343" s="11" t="n"/>
      <c r="K343" s="56" t="n"/>
      <c r="L343" s="46">
        <f>K343-J343</f>
        <v/>
      </c>
      <c r="M343" s="47" t="n"/>
      <c r="N343" s="48">
        <f>IF(A343="","",COUNTIFS(上课记录!$B:$B,A343,上课记录!$J:$J,"是"))</f>
        <v/>
      </c>
      <c r="O343" s="31">
        <f>IF(A343="","",IF(F343="次卡",MAX(0,M343-N343),"—"))</f>
        <v/>
      </c>
      <c r="P343" s="31">
        <f>IF(A343="","",IF(F343="期限卡",MAX(0,I343-TODAY()),"—"))</f>
        <v/>
      </c>
      <c r="Q343" s="31">
        <f>IF(A343="","",IF(F343="次卡",IF(OR(K343="",K343=0,M343=0),"",K343/M343),IF(F343="期限卡",IF(AND(K343&lt;&gt;"",K343&lt;&gt;0,I343&gt;H343),K343/(I343-H343),""),"")))</f>
        <v/>
      </c>
      <c r="R343" s="31">
        <f>IF(A343="","",IF(F343="次卡",IF(OR(K343="",K343=0,M343=0),"",Q343*O343),IF(F343="期限卡",IF(AND(K343&lt;&gt;"",K343&lt;&gt;0,I343&gt;H343),Q343*P343,""),"")))</f>
        <v/>
      </c>
      <c r="S343" s="58">
        <f>IF(A343="","",IFERROR(_xlfn.MAXIFS(上课记录!$D:$D,上课记录!$B:$B,A343,上课记录!$J:$J,"是"),""))</f>
        <v/>
      </c>
      <c r="T343" s="31">
        <f>IF(A343="","",IF(S343="","",TODAY()-S343))</f>
        <v/>
      </c>
      <c r="U343" s="31">
        <f>IF(A343="","",IF(OR(AND(F343="次卡",O343=0),AND(F343="期限卡",P343=0)),"已到期",IF(T343&gt;=10,"沉睡客户",IF(T343&gt;=7,"预警客户","正常"))))</f>
        <v/>
      </c>
      <c r="V343" s="11" t="n"/>
      <c r="W343" s="11" t="n"/>
    </row>
    <row r="344">
      <c r="A344" s="44" t="n"/>
      <c r="B344" s="11" t="n"/>
      <c r="C344" s="11" t="n"/>
      <c r="D344" s="11" t="n"/>
      <c r="E344" s="11" t="n"/>
      <c r="F344" s="11" t="n"/>
      <c r="G344" s="55" t="n"/>
      <c r="H344" s="55" t="n"/>
      <c r="I344" s="55" t="n"/>
      <c r="J344" s="11" t="n"/>
      <c r="K344" s="56" t="n"/>
      <c r="L344" s="46">
        <f>K344-J344</f>
        <v/>
      </c>
      <c r="M344" s="47" t="n"/>
      <c r="N344" s="48">
        <f>IF(A344="","",COUNTIFS(上课记录!$B:$B,A344,上课记录!$J:$J,"是"))</f>
        <v/>
      </c>
      <c r="O344" s="31">
        <f>IF(A344="","",IF(F344="次卡",MAX(0,M344-N344),"—"))</f>
        <v/>
      </c>
      <c r="P344" s="31">
        <f>IF(A344="","",IF(F344="期限卡",MAX(0,I344-TODAY()),"—"))</f>
        <v/>
      </c>
      <c r="Q344" s="31">
        <f>IF(A344="","",IF(F344="次卡",IF(OR(K344="",K344=0,M344=0),"",K344/M344),IF(F344="期限卡",IF(AND(K344&lt;&gt;"",K344&lt;&gt;0,I344&gt;H344),K344/(I344-H344),""),"")))</f>
        <v/>
      </c>
      <c r="R344" s="31">
        <f>IF(A344="","",IF(F344="次卡",IF(OR(K344="",K344=0,M344=0),"",Q344*O344),IF(F344="期限卡",IF(AND(K344&lt;&gt;"",K344&lt;&gt;0,I344&gt;H344),Q344*P344,""),"")))</f>
        <v/>
      </c>
      <c r="S344" s="58">
        <f>IF(A344="","",IFERROR(_xlfn.MAXIFS(上课记录!$D:$D,上课记录!$B:$B,A344,上课记录!$J:$J,"是"),""))</f>
        <v/>
      </c>
      <c r="T344" s="31">
        <f>IF(A344="","",IF(S344="","",TODAY()-S344))</f>
        <v/>
      </c>
      <c r="U344" s="31">
        <f>IF(A344="","",IF(OR(AND(F344="次卡",O344=0),AND(F344="期限卡",P344=0)),"已到期",IF(T344&gt;=10,"沉睡客户",IF(T344&gt;=7,"预警客户","正常"))))</f>
        <v/>
      </c>
      <c r="V344" s="11" t="n"/>
      <c r="W344" s="11" t="n"/>
    </row>
    <row r="345">
      <c r="A345" s="44" t="n"/>
      <c r="B345" s="11" t="n"/>
      <c r="C345" s="11" t="n"/>
      <c r="D345" s="11" t="n"/>
      <c r="E345" s="11" t="n"/>
      <c r="F345" s="11" t="n"/>
      <c r="G345" s="55" t="n"/>
      <c r="H345" s="55" t="n"/>
      <c r="I345" s="55" t="n"/>
      <c r="J345" s="11" t="n"/>
      <c r="K345" s="56" t="n"/>
      <c r="L345" s="46">
        <f>K345-J345</f>
        <v/>
      </c>
      <c r="M345" s="47" t="n"/>
      <c r="N345" s="48">
        <f>IF(A345="","",COUNTIFS(上课记录!$B:$B,A345,上课记录!$J:$J,"是"))</f>
        <v/>
      </c>
      <c r="O345" s="31">
        <f>IF(A345="","",IF(F345="次卡",MAX(0,M345-N345),"—"))</f>
        <v/>
      </c>
      <c r="P345" s="31">
        <f>IF(A345="","",IF(F345="期限卡",MAX(0,I345-TODAY()),"—"))</f>
        <v/>
      </c>
      <c r="Q345" s="31">
        <f>IF(A345="","",IF(F345="次卡",IF(OR(K345="",K345=0,M345=0),"",K345/M345),IF(F345="期限卡",IF(AND(K345&lt;&gt;"",K345&lt;&gt;0,I345&gt;H345),K345/(I345-H345),""),"")))</f>
        <v/>
      </c>
      <c r="R345" s="31">
        <f>IF(A345="","",IF(F345="次卡",IF(OR(K345="",K345=0,M345=0),"",Q345*O345),IF(F345="期限卡",IF(AND(K345&lt;&gt;"",K345&lt;&gt;0,I345&gt;H345),Q345*P345,""),"")))</f>
        <v/>
      </c>
      <c r="S345" s="58">
        <f>IF(A345="","",IFERROR(_xlfn.MAXIFS(上课记录!$D:$D,上课记录!$B:$B,A345,上课记录!$J:$J,"是"),""))</f>
        <v/>
      </c>
      <c r="T345" s="31">
        <f>IF(A345="","",IF(S345="","",TODAY()-S345))</f>
        <v/>
      </c>
      <c r="U345" s="31">
        <f>IF(A345="","",IF(OR(AND(F345="次卡",O345=0),AND(F345="期限卡",P345=0)),"已到期",IF(T345&gt;=10,"沉睡客户",IF(T345&gt;=7,"预警客户","正常"))))</f>
        <v/>
      </c>
      <c r="V345" s="11" t="n"/>
      <c r="W345" s="11" t="n"/>
    </row>
    <row r="346">
      <c r="A346" s="44" t="n"/>
      <c r="B346" s="11" t="n"/>
      <c r="C346" s="11" t="n"/>
      <c r="D346" s="11" t="n"/>
      <c r="E346" s="11" t="n"/>
      <c r="F346" s="11" t="n"/>
      <c r="G346" s="55" t="n"/>
      <c r="H346" s="55" t="n"/>
      <c r="I346" s="55" t="n"/>
      <c r="J346" s="11" t="n"/>
      <c r="K346" s="56" t="n"/>
      <c r="L346" s="46">
        <f>K346-J346</f>
        <v/>
      </c>
      <c r="M346" s="47" t="n"/>
      <c r="N346" s="48">
        <f>IF(A346="","",COUNTIFS(上课记录!$B:$B,A346,上课记录!$J:$J,"是"))</f>
        <v/>
      </c>
      <c r="O346" s="31">
        <f>IF(A346="","",IF(F346="次卡",MAX(0,M346-N346),"—"))</f>
        <v/>
      </c>
      <c r="P346" s="31">
        <f>IF(A346="","",IF(F346="期限卡",MAX(0,I346-TODAY()),"—"))</f>
        <v/>
      </c>
      <c r="Q346" s="31">
        <f>IF(A346="","",IF(F346="次卡",IF(OR(K346="",K346=0,M346=0),"",K346/M346),IF(F346="期限卡",IF(AND(K346&lt;&gt;"",K346&lt;&gt;0,I346&gt;H346),K346/(I346-H346),""),"")))</f>
        <v/>
      </c>
      <c r="R346" s="31">
        <f>IF(A346="","",IF(F346="次卡",IF(OR(K346="",K346=0,M346=0),"",Q346*O346),IF(F346="期限卡",IF(AND(K346&lt;&gt;"",K346&lt;&gt;0,I346&gt;H346),Q346*P346,""),"")))</f>
        <v/>
      </c>
      <c r="S346" s="58">
        <f>IF(A346="","",IFERROR(_xlfn.MAXIFS(上课记录!$D:$D,上课记录!$B:$B,A346,上课记录!$J:$J,"是"),""))</f>
        <v/>
      </c>
      <c r="T346" s="31">
        <f>IF(A346="","",IF(S346="","",TODAY()-S346))</f>
        <v/>
      </c>
      <c r="U346" s="31">
        <f>IF(A346="","",IF(OR(AND(F346="次卡",O346=0),AND(F346="期限卡",P346=0)),"已到期",IF(T346&gt;=10,"沉睡客户",IF(T346&gt;=7,"预警客户","正常"))))</f>
        <v/>
      </c>
      <c r="V346" s="11" t="n"/>
      <c r="W346" s="11" t="n"/>
    </row>
    <row r="347">
      <c r="A347" s="44" t="n"/>
      <c r="B347" s="11" t="n"/>
      <c r="C347" s="11" t="n"/>
      <c r="D347" s="11" t="n"/>
      <c r="E347" s="11" t="n"/>
      <c r="F347" s="11" t="n"/>
      <c r="G347" s="55" t="n"/>
      <c r="H347" s="55" t="n"/>
      <c r="I347" s="55" t="n"/>
      <c r="J347" s="11" t="n"/>
      <c r="K347" s="56" t="n"/>
      <c r="L347" s="46">
        <f>K347-J347</f>
        <v/>
      </c>
      <c r="M347" s="47" t="n"/>
      <c r="N347" s="48">
        <f>IF(A347="","",COUNTIFS(上课记录!$B:$B,A347,上课记录!$J:$J,"是"))</f>
        <v/>
      </c>
      <c r="O347" s="31">
        <f>IF(A347="","",IF(F347="次卡",MAX(0,M347-N347),"—"))</f>
        <v/>
      </c>
      <c r="P347" s="31">
        <f>IF(A347="","",IF(F347="期限卡",MAX(0,I347-TODAY()),"—"))</f>
        <v/>
      </c>
      <c r="Q347" s="31">
        <f>IF(A347="","",IF(F347="次卡",IF(OR(K347="",K347=0,M347=0),"",K347/M347),IF(F347="期限卡",IF(AND(K347&lt;&gt;"",K347&lt;&gt;0,I347&gt;H347),K347/(I347-H347),""),"")))</f>
        <v/>
      </c>
      <c r="R347" s="31">
        <f>IF(A347="","",IF(F347="次卡",IF(OR(K347="",K347=0,M347=0),"",Q347*O347),IF(F347="期限卡",IF(AND(K347&lt;&gt;"",K347&lt;&gt;0,I347&gt;H347),Q347*P347,""),"")))</f>
        <v/>
      </c>
      <c r="S347" s="58">
        <f>IF(A347="","",IFERROR(_xlfn.MAXIFS(上课记录!$D:$D,上课记录!$B:$B,A347,上课记录!$J:$J,"是"),""))</f>
        <v/>
      </c>
      <c r="T347" s="31">
        <f>IF(A347="","",IF(S347="","",TODAY()-S347))</f>
        <v/>
      </c>
      <c r="U347" s="31">
        <f>IF(A347="","",IF(OR(AND(F347="次卡",O347=0),AND(F347="期限卡",P347=0)),"已到期",IF(T347&gt;=10,"沉睡客户",IF(T347&gt;=7,"预警客户","正常"))))</f>
        <v/>
      </c>
      <c r="V347" s="11" t="n"/>
      <c r="W347" s="11" t="n"/>
    </row>
    <row r="348">
      <c r="A348" s="44" t="n"/>
      <c r="B348" s="11" t="n"/>
      <c r="C348" s="11" t="n"/>
      <c r="D348" s="11" t="n"/>
      <c r="E348" s="11" t="n"/>
      <c r="F348" s="11" t="n"/>
      <c r="G348" s="55" t="n"/>
      <c r="H348" s="55" t="n"/>
      <c r="I348" s="55" t="n"/>
      <c r="J348" s="11" t="n"/>
      <c r="K348" s="56" t="n"/>
      <c r="L348" s="46">
        <f>K348-J348</f>
        <v/>
      </c>
      <c r="M348" s="47" t="n"/>
      <c r="N348" s="48">
        <f>IF(A348="","",COUNTIFS(上课记录!$B:$B,A348,上课记录!$J:$J,"是"))</f>
        <v/>
      </c>
      <c r="O348" s="31">
        <f>IF(A348="","",IF(F348="次卡",MAX(0,M348-N348),"—"))</f>
        <v/>
      </c>
      <c r="P348" s="31">
        <f>IF(A348="","",IF(F348="期限卡",MAX(0,I348-TODAY()),"—"))</f>
        <v/>
      </c>
      <c r="Q348" s="31">
        <f>IF(A348="","",IF(F348="次卡",IF(OR(K348="",K348=0,M348=0),"",K348/M348),IF(F348="期限卡",IF(AND(K348&lt;&gt;"",K348&lt;&gt;0,I348&gt;H348),K348/(I348-H348),""),"")))</f>
        <v/>
      </c>
      <c r="R348" s="31">
        <f>IF(A348="","",IF(F348="次卡",IF(OR(K348="",K348=0,M348=0),"",Q348*O348),IF(F348="期限卡",IF(AND(K348&lt;&gt;"",K348&lt;&gt;0,I348&gt;H348),Q348*P348,""),"")))</f>
        <v/>
      </c>
      <c r="S348" s="58">
        <f>IF(A348="","",IFERROR(_xlfn.MAXIFS(上课记录!$D:$D,上课记录!$B:$B,A348,上课记录!$J:$J,"是"),""))</f>
        <v/>
      </c>
      <c r="T348" s="31">
        <f>IF(A348="","",IF(S348="","",TODAY()-S348))</f>
        <v/>
      </c>
      <c r="U348" s="31">
        <f>IF(A348="","",IF(OR(AND(F348="次卡",O348=0),AND(F348="期限卡",P348=0)),"已到期",IF(T348&gt;=10,"沉睡客户",IF(T348&gt;=7,"预警客户","正常"))))</f>
        <v/>
      </c>
      <c r="V348" s="11" t="n"/>
      <c r="W348" s="11" t="n"/>
    </row>
    <row r="349">
      <c r="A349" s="44" t="n"/>
      <c r="B349" s="11" t="n"/>
      <c r="C349" s="11" t="n"/>
      <c r="D349" s="11" t="n"/>
      <c r="E349" s="11" t="n"/>
      <c r="F349" s="11" t="n"/>
      <c r="G349" s="55" t="n"/>
      <c r="H349" s="55" t="n"/>
      <c r="I349" s="55" t="n"/>
      <c r="J349" s="11" t="n"/>
      <c r="K349" s="56" t="n"/>
      <c r="L349" s="46">
        <f>K349-J349</f>
        <v/>
      </c>
      <c r="M349" s="47" t="n"/>
      <c r="N349" s="48">
        <f>IF(A349="","",COUNTIFS(上课记录!$B:$B,A349,上课记录!$J:$J,"是"))</f>
        <v/>
      </c>
      <c r="O349" s="31">
        <f>IF(A349="","",IF(F349="次卡",MAX(0,M349-N349),"—"))</f>
        <v/>
      </c>
      <c r="P349" s="31">
        <f>IF(A349="","",IF(F349="期限卡",MAX(0,I349-TODAY()),"—"))</f>
        <v/>
      </c>
      <c r="Q349" s="31">
        <f>IF(A349="","",IF(F349="次卡",IF(OR(K349="",K349=0,M349=0),"",K349/M349),IF(F349="期限卡",IF(AND(K349&lt;&gt;"",K349&lt;&gt;0,I349&gt;H349),K349/(I349-H349),""),"")))</f>
        <v/>
      </c>
      <c r="R349" s="31">
        <f>IF(A349="","",IF(F349="次卡",IF(OR(K349="",K349=0,M349=0),"",Q349*O349),IF(F349="期限卡",IF(AND(K349&lt;&gt;"",K349&lt;&gt;0,I349&gt;H349),Q349*P349,""),"")))</f>
        <v/>
      </c>
      <c r="S349" s="58">
        <f>IF(A349="","",IFERROR(_xlfn.MAXIFS(上课记录!$D:$D,上课记录!$B:$B,A349,上课记录!$J:$J,"是"),""))</f>
        <v/>
      </c>
      <c r="T349" s="31">
        <f>IF(A349="","",IF(S349="","",TODAY()-S349))</f>
        <v/>
      </c>
      <c r="U349" s="31">
        <f>IF(A349="","",IF(OR(AND(F349="次卡",O349=0),AND(F349="期限卡",P349=0)),"已到期",IF(T349&gt;=10,"沉睡客户",IF(T349&gt;=7,"预警客户","正常"))))</f>
        <v/>
      </c>
      <c r="V349" s="11" t="n"/>
      <c r="W349" s="11" t="n"/>
    </row>
    <row r="350">
      <c r="A350" s="44" t="n"/>
      <c r="B350" s="11" t="n"/>
      <c r="C350" s="11" t="n"/>
      <c r="D350" s="11" t="n"/>
      <c r="E350" s="11" t="n"/>
      <c r="F350" s="11" t="n"/>
      <c r="G350" s="55" t="n"/>
      <c r="H350" s="55" t="n"/>
      <c r="I350" s="55" t="n"/>
      <c r="J350" s="11" t="n"/>
      <c r="K350" s="56" t="n"/>
      <c r="L350" s="46">
        <f>K350-J350</f>
        <v/>
      </c>
      <c r="M350" s="47" t="n"/>
      <c r="N350" s="48">
        <f>IF(A350="","",COUNTIFS(上课记录!$B:$B,A350,上课记录!$J:$J,"是"))</f>
        <v/>
      </c>
      <c r="O350" s="31">
        <f>IF(A350="","",IF(F350="次卡",MAX(0,M350-N350),"—"))</f>
        <v/>
      </c>
      <c r="P350" s="31">
        <f>IF(A350="","",IF(F350="期限卡",MAX(0,I350-TODAY()),"—"))</f>
        <v/>
      </c>
      <c r="Q350" s="31">
        <f>IF(A350="","",IF(F350="次卡",IF(OR(K350="",K350=0,M350=0),"",K350/M350),IF(F350="期限卡",IF(AND(K350&lt;&gt;"",K350&lt;&gt;0,I350&gt;H350),K350/(I350-H350),""),"")))</f>
        <v/>
      </c>
      <c r="R350" s="31">
        <f>IF(A350="","",IF(F350="次卡",IF(OR(K350="",K350=0,M350=0),"",Q350*O350),IF(F350="期限卡",IF(AND(K350&lt;&gt;"",K350&lt;&gt;0,I350&gt;H350),Q350*P350,""),"")))</f>
        <v/>
      </c>
      <c r="S350" s="58">
        <f>IF(A350="","",IFERROR(_xlfn.MAXIFS(上课记录!$D:$D,上课记录!$B:$B,A350,上课记录!$J:$J,"是"),""))</f>
        <v/>
      </c>
      <c r="T350" s="31">
        <f>IF(A350="","",IF(S350="","",TODAY()-S350))</f>
        <v/>
      </c>
      <c r="U350" s="31">
        <f>IF(A350="","",IF(OR(AND(F350="次卡",O350=0),AND(F350="期限卡",P350=0)),"已到期",IF(T350&gt;=10,"沉睡客户",IF(T350&gt;=7,"预警客户","正常"))))</f>
        <v/>
      </c>
      <c r="V350" s="11" t="n"/>
      <c r="W350" s="11" t="n"/>
    </row>
    <row r="351">
      <c r="A351" s="44" t="n"/>
      <c r="B351" s="11" t="n"/>
      <c r="C351" s="11" t="n"/>
      <c r="D351" s="11" t="n"/>
      <c r="E351" s="11" t="n"/>
      <c r="F351" s="11" t="n"/>
      <c r="G351" s="55" t="n"/>
      <c r="H351" s="55" t="n"/>
      <c r="I351" s="55" t="n"/>
      <c r="J351" s="11" t="n"/>
      <c r="K351" s="56" t="n"/>
      <c r="L351" s="46">
        <f>K351-J351</f>
        <v/>
      </c>
      <c r="M351" s="47" t="n"/>
      <c r="N351" s="48">
        <f>IF(A351="","",COUNTIFS(上课记录!$B:$B,A351,上课记录!$J:$J,"是"))</f>
        <v/>
      </c>
      <c r="O351" s="31">
        <f>IF(A351="","",IF(F351="次卡",MAX(0,M351-N351),"—"))</f>
        <v/>
      </c>
      <c r="P351" s="31">
        <f>IF(A351="","",IF(F351="期限卡",MAX(0,I351-TODAY()),"—"))</f>
        <v/>
      </c>
      <c r="Q351" s="31">
        <f>IF(A351="","",IF(F351="次卡",IF(OR(K351="",K351=0,M351=0),"",K351/M351),IF(F351="期限卡",IF(AND(K351&lt;&gt;"",K351&lt;&gt;0,I351&gt;H351),K351/(I351-H351),""),"")))</f>
        <v/>
      </c>
      <c r="R351" s="31">
        <f>IF(A351="","",IF(F351="次卡",IF(OR(K351="",K351=0,M351=0),"",Q351*O351),IF(F351="期限卡",IF(AND(K351&lt;&gt;"",K351&lt;&gt;0,I351&gt;H351),Q351*P351,""),"")))</f>
        <v/>
      </c>
      <c r="S351" s="58">
        <f>IF(A351="","",IFERROR(_xlfn.MAXIFS(上课记录!$D:$D,上课记录!$B:$B,A351,上课记录!$J:$J,"是"),""))</f>
        <v/>
      </c>
      <c r="T351" s="31">
        <f>IF(A351="","",IF(S351="","",TODAY()-S351))</f>
        <v/>
      </c>
      <c r="U351" s="31">
        <f>IF(A351="","",IF(OR(AND(F351="次卡",O351=0),AND(F351="期限卡",P351=0)),"已到期",IF(T351&gt;=10,"沉睡客户",IF(T351&gt;=7,"预警客户","正常"))))</f>
        <v/>
      </c>
      <c r="V351" s="11" t="n"/>
      <c r="W351" s="11" t="n"/>
    </row>
    <row r="352">
      <c r="A352" s="44" t="n"/>
      <c r="B352" s="11" t="n"/>
      <c r="C352" s="11" t="n"/>
      <c r="D352" s="11" t="n"/>
      <c r="E352" s="11" t="n"/>
      <c r="F352" s="11" t="n"/>
      <c r="G352" s="55" t="n"/>
      <c r="H352" s="55" t="n"/>
      <c r="I352" s="55" t="n"/>
      <c r="J352" s="11" t="n"/>
      <c r="K352" s="56" t="n"/>
      <c r="L352" s="46">
        <f>K352-J352</f>
        <v/>
      </c>
      <c r="M352" s="47" t="n"/>
      <c r="N352" s="48">
        <f>IF(A352="","",COUNTIFS(上课记录!$B:$B,A352,上课记录!$J:$J,"是"))</f>
        <v/>
      </c>
      <c r="O352" s="31">
        <f>IF(A352="","",IF(F352="次卡",MAX(0,M352-N352),"—"))</f>
        <v/>
      </c>
      <c r="P352" s="31">
        <f>IF(A352="","",IF(F352="期限卡",MAX(0,I352-TODAY()),"—"))</f>
        <v/>
      </c>
      <c r="Q352" s="31">
        <f>IF(A352="","",IF(F352="次卡",IF(OR(K352="",K352=0,M352=0),"",K352/M352),IF(F352="期限卡",IF(AND(K352&lt;&gt;"",K352&lt;&gt;0,I352&gt;H352),K352/(I352-H352),""),"")))</f>
        <v/>
      </c>
      <c r="R352" s="31">
        <f>IF(A352="","",IF(F352="次卡",IF(OR(K352="",K352=0,M352=0),"",Q352*O352),IF(F352="期限卡",IF(AND(K352&lt;&gt;"",K352&lt;&gt;0,I352&gt;H352),Q352*P352,""),"")))</f>
        <v/>
      </c>
      <c r="S352" s="58">
        <f>IF(A352="","",IFERROR(_xlfn.MAXIFS(上课记录!$D:$D,上课记录!$B:$B,A352,上课记录!$J:$J,"是"),""))</f>
        <v/>
      </c>
      <c r="T352" s="31">
        <f>IF(A352="","",IF(S352="","",TODAY()-S352))</f>
        <v/>
      </c>
      <c r="U352" s="31">
        <f>IF(A352="","",IF(OR(AND(F352="次卡",O352=0),AND(F352="期限卡",P352=0)),"已到期",IF(T352&gt;=10,"沉睡客户",IF(T352&gt;=7,"预警客户","正常"))))</f>
        <v/>
      </c>
      <c r="V352" s="11" t="n"/>
      <c r="W352" s="11" t="n"/>
    </row>
    <row r="353">
      <c r="A353" s="44" t="n"/>
      <c r="B353" s="11" t="n"/>
      <c r="C353" s="11" t="n"/>
      <c r="D353" s="11" t="n"/>
      <c r="E353" s="11" t="n"/>
      <c r="F353" s="11" t="n"/>
      <c r="G353" s="55" t="n"/>
      <c r="H353" s="55" t="n"/>
      <c r="I353" s="55" t="n"/>
      <c r="J353" s="11" t="n"/>
      <c r="K353" s="56" t="n"/>
      <c r="L353" s="46">
        <f>K353-J353</f>
        <v/>
      </c>
      <c r="M353" s="47" t="n"/>
      <c r="N353" s="48">
        <f>IF(A353="","",COUNTIFS(上课记录!$B:$B,A353,上课记录!$J:$J,"是"))</f>
        <v/>
      </c>
      <c r="O353" s="31">
        <f>IF(A353="","",IF(F353="次卡",MAX(0,M353-N353),"—"))</f>
        <v/>
      </c>
      <c r="P353" s="31">
        <f>IF(A353="","",IF(F353="期限卡",MAX(0,I353-TODAY()),"—"))</f>
        <v/>
      </c>
      <c r="Q353" s="31">
        <f>IF(A353="","",IF(F353="次卡",IF(OR(K353="",K353=0,M353=0),"",K353/M353),IF(F353="期限卡",IF(AND(K353&lt;&gt;"",K353&lt;&gt;0,I353&gt;H353),K353/(I353-H353),""),"")))</f>
        <v/>
      </c>
      <c r="R353" s="31">
        <f>IF(A353="","",IF(F353="次卡",IF(OR(K353="",K353=0,M353=0),"",Q353*O353),IF(F353="期限卡",IF(AND(K353&lt;&gt;"",K353&lt;&gt;0,I353&gt;H353),Q353*P353,""),"")))</f>
        <v/>
      </c>
      <c r="S353" s="58">
        <f>IF(A353="","",IFERROR(_xlfn.MAXIFS(上课记录!$D:$D,上课记录!$B:$B,A353,上课记录!$J:$J,"是"),""))</f>
        <v/>
      </c>
      <c r="T353" s="31">
        <f>IF(A353="","",IF(S353="","",TODAY()-S353))</f>
        <v/>
      </c>
      <c r="U353" s="31">
        <f>IF(A353="","",IF(OR(AND(F353="次卡",O353=0),AND(F353="期限卡",P353=0)),"已到期",IF(T353&gt;=10,"沉睡客户",IF(T353&gt;=7,"预警客户","正常"))))</f>
        <v/>
      </c>
      <c r="V353" s="11" t="n"/>
      <c r="W353" s="11" t="n"/>
    </row>
    <row r="354">
      <c r="A354" s="44" t="n"/>
      <c r="B354" s="11" t="n"/>
      <c r="C354" s="11" t="n"/>
      <c r="D354" s="11" t="n"/>
      <c r="E354" s="11" t="n"/>
      <c r="F354" s="11" t="n"/>
      <c r="G354" s="55" t="n"/>
      <c r="H354" s="55" t="n"/>
      <c r="I354" s="55" t="n"/>
      <c r="J354" s="11" t="n"/>
      <c r="K354" s="56" t="n"/>
      <c r="L354" s="46">
        <f>K354-J354</f>
        <v/>
      </c>
      <c r="M354" s="47" t="n"/>
      <c r="N354" s="48">
        <f>IF(A354="","",COUNTIFS(上课记录!$B:$B,A354,上课记录!$J:$J,"是"))</f>
        <v/>
      </c>
      <c r="O354" s="31">
        <f>IF(A354="","",IF(F354="次卡",MAX(0,M354-N354),"—"))</f>
        <v/>
      </c>
      <c r="P354" s="31">
        <f>IF(A354="","",IF(F354="期限卡",MAX(0,I354-TODAY()),"—"))</f>
        <v/>
      </c>
      <c r="Q354" s="31">
        <f>IF(A354="","",IF(F354="次卡",IF(OR(K354="",K354=0,M354=0),"",K354/M354),IF(F354="期限卡",IF(AND(K354&lt;&gt;"",K354&lt;&gt;0,I354&gt;H354),K354/(I354-H354),""),"")))</f>
        <v/>
      </c>
      <c r="R354" s="31">
        <f>IF(A354="","",IF(F354="次卡",IF(OR(K354="",K354=0,M354=0),"",Q354*O354),IF(F354="期限卡",IF(AND(K354&lt;&gt;"",K354&lt;&gt;0,I354&gt;H354),Q354*P354,""),"")))</f>
        <v/>
      </c>
      <c r="S354" s="58">
        <f>IF(A354="","",IFERROR(_xlfn.MAXIFS(上课记录!$D:$D,上课记录!$B:$B,A354,上课记录!$J:$J,"是"),""))</f>
        <v/>
      </c>
      <c r="T354" s="31">
        <f>IF(A354="","",IF(S354="","",TODAY()-S354))</f>
        <v/>
      </c>
      <c r="U354" s="31">
        <f>IF(A354="","",IF(OR(AND(F354="次卡",O354=0),AND(F354="期限卡",P354=0)),"已到期",IF(T354&gt;=10,"沉睡客户",IF(T354&gt;=7,"预警客户","正常"))))</f>
        <v/>
      </c>
      <c r="V354" s="11" t="n"/>
      <c r="W354" s="11" t="n"/>
    </row>
    <row r="355">
      <c r="A355" s="44" t="n"/>
      <c r="B355" s="11" t="n"/>
      <c r="C355" s="11" t="n"/>
      <c r="D355" s="11" t="n"/>
      <c r="E355" s="11" t="n"/>
      <c r="F355" s="11" t="n"/>
      <c r="G355" s="55" t="n"/>
      <c r="H355" s="55" t="n"/>
      <c r="I355" s="55" t="n"/>
      <c r="J355" s="11" t="n"/>
      <c r="K355" s="56" t="n"/>
      <c r="L355" s="46">
        <f>K355-J355</f>
        <v/>
      </c>
      <c r="M355" s="47" t="n"/>
      <c r="N355" s="48">
        <f>IF(A355="","",COUNTIFS(上课记录!$B:$B,A355,上课记录!$J:$J,"是"))</f>
        <v/>
      </c>
      <c r="O355" s="31">
        <f>IF(A355="","",IF(F355="次卡",MAX(0,M355-N355),"—"))</f>
        <v/>
      </c>
      <c r="P355" s="31">
        <f>IF(A355="","",IF(F355="期限卡",MAX(0,I355-TODAY()),"—"))</f>
        <v/>
      </c>
      <c r="Q355" s="31">
        <f>IF(A355="","",IF(F355="次卡",IF(OR(K355="",K355=0,M355=0),"",K355/M355),IF(F355="期限卡",IF(AND(K355&lt;&gt;"",K355&lt;&gt;0,I355&gt;H355),K355/(I355-H355),""),"")))</f>
        <v/>
      </c>
      <c r="R355" s="31">
        <f>IF(A355="","",IF(F355="次卡",IF(OR(K355="",K355=0,M355=0),"",Q355*O355),IF(F355="期限卡",IF(AND(K355&lt;&gt;"",K355&lt;&gt;0,I355&gt;H355),Q355*P355,""),"")))</f>
        <v/>
      </c>
      <c r="S355" s="58">
        <f>IF(A355="","",IFERROR(_xlfn.MAXIFS(上课记录!$D:$D,上课记录!$B:$B,A355,上课记录!$J:$J,"是"),""))</f>
        <v/>
      </c>
      <c r="T355" s="31">
        <f>IF(A355="","",IF(S355="","",TODAY()-S355))</f>
        <v/>
      </c>
      <c r="U355" s="31">
        <f>IF(A355="","",IF(OR(AND(F355="次卡",O355=0),AND(F355="期限卡",P355=0)),"已到期",IF(T355&gt;=10,"沉睡客户",IF(T355&gt;=7,"预警客户","正常"))))</f>
        <v/>
      </c>
      <c r="V355" s="11" t="n"/>
      <c r="W355" s="11" t="n"/>
    </row>
    <row r="356">
      <c r="A356" s="44" t="n"/>
      <c r="B356" s="11" t="n"/>
      <c r="C356" s="11" t="n"/>
      <c r="D356" s="11" t="n"/>
      <c r="E356" s="11" t="n"/>
      <c r="F356" s="11" t="n"/>
      <c r="G356" s="55" t="n"/>
      <c r="H356" s="55" t="n"/>
      <c r="I356" s="55" t="n"/>
      <c r="J356" s="11" t="n"/>
      <c r="K356" s="56" t="n"/>
      <c r="L356" s="46">
        <f>K356-J356</f>
        <v/>
      </c>
      <c r="M356" s="47" t="n"/>
      <c r="N356" s="48">
        <f>IF(A356="","",COUNTIFS(上课记录!$B:$B,A356,上课记录!$J:$J,"是"))</f>
        <v/>
      </c>
      <c r="O356" s="31">
        <f>IF(A356="","",IF(F356="次卡",MAX(0,M356-N356),"—"))</f>
        <v/>
      </c>
      <c r="P356" s="31">
        <f>IF(A356="","",IF(F356="期限卡",MAX(0,I356-TODAY()),"—"))</f>
        <v/>
      </c>
      <c r="Q356" s="31">
        <f>IF(A356="","",IF(F356="次卡",IF(OR(K356="",K356=0,M356=0),"",K356/M356),IF(F356="期限卡",IF(AND(K356&lt;&gt;"",K356&lt;&gt;0,I356&gt;H356),K356/(I356-H356),""),"")))</f>
        <v/>
      </c>
      <c r="R356" s="31">
        <f>IF(A356="","",IF(F356="次卡",IF(OR(K356="",K356=0,M356=0),"",Q356*O356),IF(F356="期限卡",IF(AND(K356&lt;&gt;"",K356&lt;&gt;0,I356&gt;H356),Q356*P356,""),"")))</f>
        <v/>
      </c>
      <c r="S356" s="58">
        <f>IF(A356="","",IFERROR(_xlfn.MAXIFS(上课记录!$D:$D,上课记录!$B:$B,A356,上课记录!$J:$J,"是"),""))</f>
        <v/>
      </c>
      <c r="T356" s="31">
        <f>IF(A356="","",IF(S356="","",TODAY()-S356))</f>
        <v/>
      </c>
      <c r="U356" s="31">
        <f>IF(A356="","",IF(OR(AND(F356="次卡",O356=0),AND(F356="期限卡",P356=0)),"已到期",IF(T356&gt;=10,"沉睡客户",IF(T356&gt;=7,"预警客户","正常"))))</f>
        <v/>
      </c>
      <c r="V356" s="11" t="n"/>
      <c r="W356" s="11" t="n"/>
    </row>
    <row r="357">
      <c r="A357" s="44" t="n"/>
      <c r="B357" s="11" t="n"/>
      <c r="C357" s="11" t="n"/>
      <c r="D357" s="11" t="n"/>
      <c r="E357" s="11" t="n"/>
      <c r="F357" s="11" t="n"/>
      <c r="G357" s="55" t="n"/>
      <c r="H357" s="55" t="n"/>
      <c r="I357" s="55" t="n"/>
      <c r="J357" s="11" t="n"/>
      <c r="K357" s="56" t="n"/>
      <c r="L357" s="46">
        <f>K357-J357</f>
        <v/>
      </c>
      <c r="M357" s="47" t="n"/>
      <c r="N357" s="48">
        <f>IF(A357="","",COUNTIFS(上课记录!$B:$B,A357,上课记录!$J:$J,"是"))</f>
        <v/>
      </c>
      <c r="O357" s="31">
        <f>IF(A357="","",IF(F357="次卡",MAX(0,M357-N357),"—"))</f>
        <v/>
      </c>
      <c r="P357" s="31">
        <f>IF(A357="","",IF(F357="期限卡",MAX(0,I357-TODAY()),"—"))</f>
        <v/>
      </c>
      <c r="Q357" s="31">
        <f>IF(A357="","",IF(F357="次卡",IF(OR(K357="",K357=0,M357=0),"",K357/M357),IF(F357="期限卡",IF(AND(K357&lt;&gt;"",K357&lt;&gt;0,I357&gt;H357),K357/(I357-H357),""),"")))</f>
        <v/>
      </c>
      <c r="R357" s="31">
        <f>IF(A357="","",IF(F357="次卡",IF(OR(K357="",K357=0,M357=0),"",Q357*O357),IF(F357="期限卡",IF(AND(K357&lt;&gt;"",K357&lt;&gt;0,I357&gt;H357),Q357*P357,""),"")))</f>
        <v/>
      </c>
      <c r="S357" s="58">
        <f>IF(A357="","",IFERROR(_xlfn.MAXIFS(上课记录!$D:$D,上课记录!$B:$B,A357,上课记录!$J:$J,"是"),""))</f>
        <v/>
      </c>
      <c r="T357" s="31">
        <f>IF(A357="","",IF(S357="","",TODAY()-S357))</f>
        <v/>
      </c>
      <c r="U357" s="31">
        <f>IF(A357="","",IF(OR(AND(F357="次卡",O357=0),AND(F357="期限卡",P357=0)),"已到期",IF(T357&gt;=10,"沉睡客户",IF(T357&gt;=7,"预警客户","正常"))))</f>
        <v/>
      </c>
      <c r="V357" s="11" t="n"/>
      <c r="W357" s="11" t="n"/>
    </row>
    <row r="358">
      <c r="A358" s="44" t="n"/>
      <c r="B358" s="11" t="n"/>
      <c r="C358" s="11" t="n"/>
      <c r="D358" s="11" t="n"/>
      <c r="E358" s="11" t="n"/>
      <c r="F358" s="11" t="n"/>
      <c r="G358" s="55" t="n"/>
      <c r="H358" s="55" t="n"/>
      <c r="I358" s="55" t="n"/>
      <c r="J358" s="11" t="n"/>
      <c r="K358" s="56" t="n"/>
      <c r="L358" s="46">
        <f>K358-J358</f>
        <v/>
      </c>
      <c r="M358" s="47" t="n"/>
      <c r="N358" s="48">
        <f>IF(A358="","",COUNTIFS(上课记录!$B:$B,A358,上课记录!$J:$J,"是"))</f>
        <v/>
      </c>
      <c r="O358" s="31">
        <f>IF(A358="","",IF(F358="次卡",MAX(0,M358-N358),"—"))</f>
        <v/>
      </c>
      <c r="P358" s="31">
        <f>IF(A358="","",IF(F358="期限卡",MAX(0,I358-TODAY()),"—"))</f>
        <v/>
      </c>
      <c r="Q358" s="31">
        <f>IF(A358="","",IF(F358="次卡",IF(OR(K358="",K358=0,M358=0),"",K358/M358),IF(F358="期限卡",IF(AND(K358&lt;&gt;"",K358&lt;&gt;0,I358&gt;H358),K358/(I358-H358),""),"")))</f>
        <v/>
      </c>
      <c r="R358" s="31">
        <f>IF(A358="","",IF(F358="次卡",IF(OR(K358="",K358=0,M358=0),"",Q358*O358),IF(F358="期限卡",IF(AND(K358&lt;&gt;"",K358&lt;&gt;0,I358&gt;H358),Q358*P358,""),"")))</f>
        <v/>
      </c>
      <c r="S358" s="58">
        <f>IF(A358="","",IFERROR(_xlfn.MAXIFS(上课记录!$D:$D,上课记录!$B:$B,A358,上课记录!$J:$J,"是"),""))</f>
        <v/>
      </c>
      <c r="T358" s="31">
        <f>IF(A358="","",IF(S358="","",TODAY()-S358))</f>
        <v/>
      </c>
      <c r="U358" s="31">
        <f>IF(A358="","",IF(OR(AND(F358="次卡",O358=0),AND(F358="期限卡",P358=0)),"已到期",IF(T358&gt;=10,"沉睡客户",IF(T358&gt;=7,"预警客户","正常"))))</f>
        <v/>
      </c>
      <c r="V358" s="11" t="n"/>
      <c r="W358" s="11" t="n"/>
    </row>
    <row r="359">
      <c r="A359" s="44" t="n"/>
      <c r="B359" s="11" t="n"/>
      <c r="C359" s="11" t="n"/>
      <c r="D359" s="11" t="n"/>
      <c r="E359" s="11" t="n"/>
      <c r="F359" s="11" t="n"/>
      <c r="G359" s="55" t="n"/>
      <c r="H359" s="55" t="n"/>
      <c r="I359" s="55" t="n"/>
      <c r="J359" s="11" t="n"/>
      <c r="K359" s="56" t="n"/>
      <c r="L359" s="46">
        <f>K359-J359</f>
        <v/>
      </c>
      <c r="M359" s="47" t="n"/>
      <c r="N359" s="48">
        <f>IF(A359="","",COUNTIFS(上课记录!$B:$B,A359,上课记录!$J:$J,"是"))</f>
        <v/>
      </c>
      <c r="O359" s="31">
        <f>IF(A359="","",IF(F359="次卡",MAX(0,M359-N359),"—"))</f>
        <v/>
      </c>
      <c r="P359" s="31">
        <f>IF(A359="","",IF(F359="期限卡",MAX(0,I359-TODAY()),"—"))</f>
        <v/>
      </c>
      <c r="Q359" s="31">
        <f>IF(A359="","",IF(F359="次卡",IF(OR(K359="",K359=0,M359=0),"",K359/M359),IF(F359="期限卡",IF(AND(K359&lt;&gt;"",K359&lt;&gt;0,I359&gt;H359),K359/(I359-H359),""),"")))</f>
        <v/>
      </c>
      <c r="R359" s="31">
        <f>IF(A359="","",IF(F359="次卡",IF(OR(K359="",K359=0,M359=0),"",Q359*O359),IF(F359="期限卡",IF(AND(K359&lt;&gt;"",K359&lt;&gt;0,I359&gt;H359),Q359*P359,""),"")))</f>
        <v/>
      </c>
      <c r="S359" s="58">
        <f>IF(A359="","",IFERROR(_xlfn.MAXIFS(上课记录!$D:$D,上课记录!$B:$B,A359,上课记录!$J:$J,"是"),""))</f>
        <v/>
      </c>
      <c r="T359" s="31">
        <f>IF(A359="","",IF(S359="","",TODAY()-S359))</f>
        <v/>
      </c>
      <c r="U359" s="31">
        <f>IF(A359="","",IF(OR(AND(F359="次卡",O359=0),AND(F359="期限卡",P359=0)),"已到期",IF(T359&gt;=10,"沉睡客户",IF(T359&gt;=7,"预警客户","正常"))))</f>
        <v/>
      </c>
      <c r="V359" s="11" t="n"/>
      <c r="W359" s="11" t="n"/>
    </row>
    <row r="360">
      <c r="A360" s="44" t="n"/>
      <c r="B360" s="11" t="n"/>
      <c r="C360" s="11" t="n"/>
      <c r="D360" s="11" t="n"/>
      <c r="E360" s="11" t="n"/>
      <c r="F360" s="11" t="n"/>
      <c r="G360" s="55" t="n"/>
      <c r="H360" s="55" t="n"/>
      <c r="I360" s="55" t="n"/>
      <c r="J360" s="11" t="n"/>
      <c r="K360" s="56" t="n"/>
      <c r="L360" s="46">
        <f>K360-J360</f>
        <v/>
      </c>
      <c r="M360" s="47" t="n"/>
      <c r="N360" s="48">
        <f>IF(A360="","",COUNTIFS(上课记录!$B:$B,A360,上课记录!$J:$J,"是"))</f>
        <v/>
      </c>
      <c r="O360" s="31">
        <f>IF(A360="","",IF(F360="次卡",MAX(0,M360-N360),"—"))</f>
        <v/>
      </c>
      <c r="P360" s="31">
        <f>IF(A360="","",IF(F360="期限卡",MAX(0,I360-TODAY()),"—"))</f>
        <v/>
      </c>
      <c r="Q360" s="31">
        <f>IF(A360="","",IF(F360="次卡",IF(OR(K360="",K360=0,M360=0),"",K360/M360),IF(F360="期限卡",IF(AND(K360&lt;&gt;"",K360&lt;&gt;0,I360&gt;H360),K360/(I360-H360),""),"")))</f>
        <v/>
      </c>
      <c r="R360" s="31">
        <f>IF(A360="","",IF(F360="次卡",IF(OR(K360="",K360=0,M360=0),"",Q360*O360),IF(F360="期限卡",IF(AND(K360&lt;&gt;"",K360&lt;&gt;0,I360&gt;H360),Q360*P360,""),"")))</f>
        <v/>
      </c>
      <c r="S360" s="58">
        <f>IF(A360="","",IFERROR(_xlfn.MAXIFS(上课记录!$D:$D,上课记录!$B:$B,A360,上课记录!$J:$J,"是"),""))</f>
        <v/>
      </c>
      <c r="T360" s="31">
        <f>IF(A360="","",IF(S360="","",TODAY()-S360))</f>
        <v/>
      </c>
      <c r="U360" s="31">
        <f>IF(A360="","",IF(OR(AND(F360="次卡",O360=0),AND(F360="期限卡",P360=0)),"已到期",IF(T360&gt;=10,"沉睡客户",IF(T360&gt;=7,"预警客户","正常"))))</f>
        <v/>
      </c>
      <c r="V360" s="11" t="n"/>
      <c r="W360" s="11" t="n"/>
    </row>
    <row r="361">
      <c r="A361" s="44" t="n"/>
      <c r="B361" s="11" t="n"/>
      <c r="C361" s="11" t="n"/>
      <c r="D361" s="11" t="n"/>
      <c r="E361" s="11" t="n"/>
      <c r="F361" s="11" t="n"/>
      <c r="G361" s="55" t="n"/>
      <c r="H361" s="55" t="n"/>
      <c r="I361" s="55" t="n"/>
      <c r="J361" s="11" t="n"/>
      <c r="K361" s="56" t="n"/>
      <c r="L361" s="46">
        <f>K361-J361</f>
        <v/>
      </c>
      <c r="M361" s="47" t="n"/>
      <c r="N361" s="48">
        <f>IF(A361="","",COUNTIFS(上课记录!$B:$B,A361,上课记录!$J:$J,"是"))</f>
        <v/>
      </c>
      <c r="O361" s="31">
        <f>IF(A361="","",IF(F361="次卡",MAX(0,M361-N361),"—"))</f>
        <v/>
      </c>
      <c r="P361" s="31">
        <f>IF(A361="","",IF(F361="期限卡",MAX(0,I361-TODAY()),"—"))</f>
        <v/>
      </c>
      <c r="Q361" s="31">
        <f>IF(A361="","",IF(F361="次卡",IF(OR(K361="",K361=0,M361=0),"",K361/M361),IF(F361="期限卡",IF(AND(K361&lt;&gt;"",K361&lt;&gt;0,I361&gt;H361),K361/(I361-H361),""),"")))</f>
        <v/>
      </c>
      <c r="R361" s="31">
        <f>IF(A361="","",IF(F361="次卡",IF(OR(K361="",K361=0,M361=0),"",Q361*O361),IF(F361="期限卡",IF(AND(K361&lt;&gt;"",K361&lt;&gt;0,I361&gt;H361),Q361*P361,""),"")))</f>
        <v/>
      </c>
      <c r="S361" s="58">
        <f>IF(A361="","",IFERROR(_xlfn.MAXIFS(上课记录!$D:$D,上课记录!$B:$B,A361,上课记录!$J:$J,"是"),""))</f>
        <v/>
      </c>
      <c r="T361" s="31">
        <f>IF(A361="","",IF(S361="","",TODAY()-S361))</f>
        <v/>
      </c>
      <c r="U361" s="31">
        <f>IF(A361="","",IF(OR(AND(F361="次卡",O361=0),AND(F361="期限卡",P361=0)),"已到期",IF(T361&gt;=10,"沉睡客户",IF(T361&gt;=7,"预警客户","正常"))))</f>
        <v/>
      </c>
      <c r="V361" s="11" t="n"/>
      <c r="W361" s="11" t="n"/>
    </row>
    <row r="362">
      <c r="A362" s="44" t="n"/>
      <c r="B362" s="11" t="n"/>
      <c r="C362" s="11" t="n"/>
      <c r="D362" s="11" t="n"/>
      <c r="E362" s="11" t="n"/>
      <c r="F362" s="11" t="n"/>
      <c r="G362" s="55" t="n"/>
      <c r="H362" s="55" t="n"/>
      <c r="I362" s="55" t="n"/>
      <c r="J362" s="11" t="n"/>
      <c r="K362" s="56" t="n"/>
      <c r="L362" s="46">
        <f>K362-J362</f>
        <v/>
      </c>
      <c r="M362" s="47" t="n"/>
      <c r="N362" s="48">
        <f>IF(A362="","",COUNTIFS(上课记录!$B:$B,A362,上课记录!$J:$J,"是"))</f>
        <v/>
      </c>
      <c r="O362" s="31">
        <f>IF(A362="","",IF(F362="次卡",MAX(0,M362-N362),"—"))</f>
        <v/>
      </c>
      <c r="P362" s="31">
        <f>IF(A362="","",IF(F362="期限卡",MAX(0,I362-TODAY()),"—"))</f>
        <v/>
      </c>
      <c r="Q362" s="31">
        <f>IF(A362="","",IF(F362="次卡",IF(OR(K362="",K362=0,M362=0),"",K362/M362),IF(F362="期限卡",IF(AND(K362&lt;&gt;"",K362&lt;&gt;0,I362&gt;H362),K362/(I362-H362),""),"")))</f>
        <v/>
      </c>
      <c r="R362" s="31">
        <f>IF(A362="","",IF(F362="次卡",IF(OR(K362="",K362=0,M362=0),"",Q362*O362),IF(F362="期限卡",IF(AND(K362&lt;&gt;"",K362&lt;&gt;0,I362&gt;H362),Q362*P362,""),"")))</f>
        <v/>
      </c>
      <c r="S362" s="58">
        <f>IF(A362="","",IFERROR(_xlfn.MAXIFS(上课记录!$D:$D,上课记录!$B:$B,A362,上课记录!$J:$J,"是"),""))</f>
        <v/>
      </c>
      <c r="T362" s="31">
        <f>IF(A362="","",IF(S362="","",TODAY()-S362))</f>
        <v/>
      </c>
      <c r="U362" s="31">
        <f>IF(A362="","",IF(OR(AND(F362="次卡",O362=0),AND(F362="期限卡",P362=0)),"已到期",IF(T362&gt;=10,"沉睡客户",IF(T362&gt;=7,"预警客户","正常"))))</f>
        <v/>
      </c>
      <c r="V362" s="11" t="n"/>
      <c r="W362" s="11" t="n"/>
    </row>
    <row r="363">
      <c r="A363" s="44" t="n"/>
      <c r="B363" s="11" t="n"/>
      <c r="C363" s="11" t="n"/>
      <c r="D363" s="11" t="n"/>
      <c r="E363" s="11" t="n"/>
      <c r="F363" s="11" t="n"/>
      <c r="G363" s="55" t="n"/>
      <c r="H363" s="55" t="n"/>
      <c r="I363" s="55" t="n"/>
      <c r="J363" s="11" t="n"/>
      <c r="K363" s="56" t="n"/>
      <c r="L363" s="46">
        <f>K363-J363</f>
        <v/>
      </c>
      <c r="M363" s="47" t="n"/>
      <c r="N363" s="48">
        <f>IF(A363="","",COUNTIFS(上课记录!$B:$B,A363,上课记录!$J:$J,"是"))</f>
        <v/>
      </c>
      <c r="O363" s="31">
        <f>IF(A363="","",IF(F363="次卡",MAX(0,M363-N363),"—"))</f>
        <v/>
      </c>
      <c r="P363" s="31">
        <f>IF(A363="","",IF(F363="期限卡",MAX(0,I363-TODAY()),"—"))</f>
        <v/>
      </c>
      <c r="Q363" s="31">
        <f>IF(A363="","",IF(F363="次卡",IF(OR(K363="",K363=0,M363=0),"",K363/M363),IF(F363="期限卡",IF(AND(K363&lt;&gt;"",K363&lt;&gt;0,I363&gt;H363),K363/(I363-H363),""),"")))</f>
        <v/>
      </c>
      <c r="R363" s="31">
        <f>IF(A363="","",IF(F363="次卡",IF(OR(K363="",K363=0,M363=0),"",Q363*O363),IF(F363="期限卡",IF(AND(K363&lt;&gt;"",K363&lt;&gt;0,I363&gt;H363),Q363*P363,""),"")))</f>
        <v/>
      </c>
      <c r="S363" s="58">
        <f>IF(A363="","",IFERROR(_xlfn.MAXIFS(上课记录!$D:$D,上课记录!$B:$B,A363,上课记录!$J:$J,"是"),""))</f>
        <v/>
      </c>
      <c r="T363" s="31">
        <f>IF(A363="","",IF(S363="","",TODAY()-S363))</f>
        <v/>
      </c>
      <c r="U363" s="31">
        <f>IF(A363="","",IF(OR(AND(F363="次卡",O363=0),AND(F363="期限卡",P363=0)),"已到期",IF(T363&gt;=10,"沉睡客户",IF(T363&gt;=7,"预警客户","正常"))))</f>
        <v/>
      </c>
      <c r="V363" s="11" t="n"/>
      <c r="W363" s="11" t="n"/>
    </row>
    <row r="364">
      <c r="A364" s="44" t="n"/>
      <c r="B364" s="11" t="n"/>
      <c r="C364" s="11" t="n"/>
      <c r="D364" s="11" t="n"/>
      <c r="E364" s="11" t="n"/>
      <c r="F364" s="11" t="n"/>
      <c r="G364" s="55" t="n"/>
      <c r="H364" s="55" t="n"/>
      <c r="I364" s="55" t="n"/>
      <c r="J364" s="11" t="n"/>
      <c r="K364" s="56" t="n"/>
      <c r="L364" s="46">
        <f>K364-J364</f>
        <v/>
      </c>
      <c r="M364" s="47" t="n"/>
      <c r="N364" s="48">
        <f>IF(A364="","",COUNTIFS(上课记录!$B:$B,A364,上课记录!$J:$J,"是"))</f>
        <v/>
      </c>
      <c r="O364" s="31">
        <f>IF(A364="","",IF(F364="次卡",MAX(0,M364-N364),"—"))</f>
        <v/>
      </c>
      <c r="P364" s="31">
        <f>IF(A364="","",IF(F364="期限卡",MAX(0,I364-TODAY()),"—"))</f>
        <v/>
      </c>
      <c r="Q364" s="31">
        <f>IF(A364="","",IF(F364="次卡",IF(OR(K364="",K364=0,M364=0),"",K364/M364),IF(F364="期限卡",IF(AND(K364&lt;&gt;"",K364&lt;&gt;0,I364&gt;H364),K364/(I364-H364),""),"")))</f>
        <v/>
      </c>
      <c r="R364" s="31">
        <f>IF(A364="","",IF(F364="次卡",IF(OR(K364="",K364=0,M364=0),"",Q364*O364),IF(F364="期限卡",IF(AND(K364&lt;&gt;"",K364&lt;&gt;0,I364&gt;H364),Q364*P364,""),"")))</f>
        <v/>
      </c>
      <c r="S364" s="58">
        <f>IF(A364="","",IFERROR(_xlfn.MAXIFS(上课记录!$D:$D,上课记录!$B:$B,A364,上课记录!$J:$J,"是"),""))</f>
        <v/>
      </c>
      <c r="T364" s="31">
        <f>IF(A364="","",IF(S364="","",TODAY()-S364))</f>
        <v/>
      </c>
      <c r="U364" s="31">
        <f>IF(A364="","",IF(OR(AND(F364="次卡",O364=0),AND(F364="期限卡",P364=0)),"已到期",IF(T364&gt;=10,"沉睡客户",IF(T364&gt;=7,"预警客户","正常"))))</f>
        <v/>
      </c>
      <c r="V364" s="11" t="n"/>
      <c r="W364" s="11" t="n"/>
    </row>
    <row r="365">
      <c r="A365" s="44" t="n"/>
      <c r="B365" s="11" t="n"/>
      <c r="C365" s="11" t="n"/>
      <c r="D365" s="11" t="n"/>
      <c r="E365" s="11" t="n"/>
      <c r="F365" s="11" t="n"/>
      <c r="G365" s="55" t="n"/>
      <c r="H365" s="55" t="n"/>
      <c r="I365" s="55" t="n"/>
      <c r="J365" s="11" t="n"/>
      <c r="K365" s="56" t="n"/>
      <c r="L365" s="46">
        <f>K365-J365</f>
        <v/>
      </c>
      <c r="M365" s="47" t="n"/>
      <c r="N365" s="48">
        <f>IF(A365="","",COUNTIFS(上课记录!$B:$B,A365,上课记录!$J:$J,"是"))</f>
        <v/>
      </c>
      <c r="O365" s="31">
        <f>IF(A365="","",IF(F365="次卡",MAX(0,M365-N365),"—"))</f>
        <v/>
      </c>
      <c r="P365" s="31">
        <f>IF(A365="","",IF(F365="期限卡",MAX(0,I365-TODAY()),"—"))</f>
        <v/>
      </c>
      <c r="Q365" s="31">
        <f>IF(A365="","",IF(F365="次卡",IF(OR(K365="",K365=0,M365=0),"",K365/M365),IF(F365="期限卡",IF(AND(K365&lt;&gt;"",K365&lt;&gt;0,I365&gt;H365),K365/(I365-H365),""),"")))</f>
        <v/>
      </c>
      <c r="R365" s="31">
        <f>IF(A365="","",IF(F365="次卡",IF(OR(K365="",K365=0,M365=0),"",Q365*O365),IF(F365="期限卡",IF(AND(K365&lt;&gt;"",K365&lt;&gt;0,I365&gt;H365),Q365*P365,""),"")))</f>
        <v/>
      </c>
      <c r="S365" s="58">
        <f>IF(A365="","",IFERROR(_xlfn.MAXIFS(上课记录!$D:$D,上课记录!$B:$B,A365,上课记录!$J:$J,"是"),""))</f>
        <v/>
      </c>
      <c r="T365" s="31">
        <f>IF(A365="","",IF(S365="","",TODAY()-S365))</f>
        <v/>
      </c>
      <c r="U365" s="31">
        <f>IF(A365="","",IF(OR(AND(F365="次卡",O365=0),AND(F365="期限卡",P365=0)),"已到期",IF(T365&gt;=10,"沉睡客户",IF(T365&gt;=7,"预警客户","正常"))))</f>
        <v/>
      </c>
      <c r="V365" s="11" t="n"/>
      <c r="W365" s="11" t="n"/>
    </row>
    <row r="366">
      <c r="A366" s="44" t="n"/>
      <c r="B366" s="11" t="n"/>
      <c r="C366" s="11" t="n"/>
      <c r="D366" s="11" t="n"/>
      <c r="E366" s="11" t="n"/>
      <c r="F366" s="11" t="n"/>
      <c r="G366" s="55" t="n"/>
      <c r="H366" s="55" t="n"/>
      <c r="I366" s="55" t="n"/>
      <c r="J366" s="11" t="n"/>
      <c r="K366" s="56" t="n"/>
      <c r="L366" s="46">
        <f>K366-J366</f>
        <v/>
      </c>
      <c r="M366" s="47" t="n"/>
      <c r="N366" s="48">
        <f>IF(A366="","",COUNTIFS(上课记录!$B:$B,A366,上课记录!$J:$J,"是"))</f>
        <v/>
      </c>
      <c r="O366" s="31">
        <f>IF(A366="","",IF(F366="次卡",MAX(0,M366-N366),"—"))</f>
        <v/>
      </c>
      <c r="P366" s="31">
        <f>IF(A366="","",IF(F366="期限卡",MAX(0,I366-TODAY()),"—"))</f>
        <v/>
      </c>
      <c r="Q366" s="31">
        <f>IF(A366="","",IF(F366="次卡",IF(OR(K366="",K366=0,M366=0),"",K366/M366),IF(F366="期限卡",IF(AND(K366&lt;&gt;"",K366&lt;&gt;0,I366&gt;H366),K366/(I366-H366),""),"")))</f>
        <v/>
      </c>
      <c r="R366" s="31">
        <f>IF(A366="","",IF(F366="次卡",IF(OR(K366="",K366=0,M366=0),"",Q366*O366),IF(F366="期限卡",IF(AND(K366&lt;&gt;"",K366&lt;&gt;0,I366&gt;H366),Q366*P366,""),"")))</f>
        <v/>
      </c>
      <c r="S366" s="58">
        <f>IF(A366="","",IFERROR(_xlfn.MAXIFS(上课记录!$D:$D,上课记录!$B:$B,A366,上课记录!$J:$J,"是"),""))</f>
        <v/>
      </c>
      <c r="T366" s="31">
        <f>IF(A366="","",IF(S366="","",TODAY()-S366))</f>
        <v/>
      </c>
      <c r="U366" s="31">
        <f>IF(A366="","",IF(OR(AND(F366="次卡",O366=0),AND(F366="期限卡",P366=0)),"已到期",IF(T366&gt;=10,"沉睡客户",IF(T366&gt;=7,"预警客户","正常"))))</f>
        <v/>
      </c>
      <c r="V366" s="11" t="n"/>
      <c r="W366" s="11" t="n"/>
    </row>
    <row r="367">
      <c r="A367" s="44" t="n"/>
      <c r="B367" s="11" t="n"/>
      <c r="C367" s="11" t="n"/>
      <c r="D367" s="11" t="n"/>
      <c r="E367" s="11" t="n"/>
      <c r="F367" s="11" t="n"/>
      <c r="G367" s="55" t="n"/>
      <c r="H367" s="55" t="n"/>
      <c r="I367" s="55" t="n"/>
      <c r="J367" s="11" t="n"/>
      <c r="K367" s="56" t="n"/>
      <c r="L367" s="46">
        <f>K367-J367</f>
        <v/>
      </c>
      <c r="M367" s="47" t="n"/>
      <c r="N367" s="48">
        <f>IF(A367="","",COUNTIFS(上课记录!$B:$B,A367,上课记录!$J:$J,"是"))</f>
        <v/>
      </c>
      <c r="O367" s="31">
        <f>IF(A367="","",IF(F367="次卡",MAX(0,M367-N367),"—"))</f>
        <v/>
      </c>
      <c r="P367" s="31">
        <f>IF(A367="","",IF(F367="期限卡",MAX(0,I367-TODAY()),"—"))</f>
        <v/>
      </c>
      <c r="Q367" s="31">
        <f>IF(A367="","",IF(F367="次卡",IF(OR(K367="",K367=0,M367=0),"",K367/M367),IF(F367="期限卡",IF(AND(K367&lt;&gt;"",K367&lt;&gt;0,I367&gt;H367),K367/(I367-H367),""),"")))</f>
        <v/>
      </c>
      <c r="R367" s="31">
        <f>IF(A367="","",IF(F367="次卡",IF(OR(K367="",K367=0,M367=0),"",Q367*O367),IF(F367="期限卡",IF(AND(K367&lt;&gt;"",K367&lt;&gt;0,I367&gt;H367),Q367*P367,""),"")))</f>
        <v/>
      </c>
      <c r="S367" s="58">
        <f>IF(A367="","",IFERROR(_xlfn.MAXIFS(上课记录!$D:$D,上课记录!$B:$B,A367,上课记录!$J:$J,"是"),""))</f>
        <v/>
      </c>
      <c r="T367" s="31">
        <f>IF(A367="","",IF(S367="","",TODAY()-S367))</f>
        <v/>
      </c>
      <c r="U367" s="31">
        <f>IF(A367="","",IF(OR(AND(F367="次卡",O367=0),AND(F367="期限卡",P367=0)),"已到期",IF(T367&gt;=10,"沉睡客户",IF(T367&gt;=7,"预警客户","正常"))))</f>
        <v/>
      </c>
      <c r="V367" s="11" t="n"/>
      <c r="W367" s="11" t="n"/>
    </row>
    <row r="368">
      <c r="A368" s="44" t="n"/>
      <c r="B368" s="11" t="n"/>
      <c r="C368" s="11" t="n"/>
      <c r="D368" s="11" t="n"/>
      <c r="E368" s="11" t="n"/>
      <c r="F368" s="11" t="n"/>
      <c r="G368" s="55" t="n"/>
      <c r="H368" s="55" t="n"/>
      <c r="I368" s="55" t="n"/>
      <c r="J368" s="11" t="n"/>
      <c r="K368" s="56" t="n"/>
      <c r="L368" s="46">
        <f>K368-J368</f>
        <v/>
      </c>
      <c r="M368" s="47" t="n"/>
      <c r="N368" s="48">
        <f>IF(A368="","",COUNTIFS(上课记录!$B:$B,A368,上课记录!$J:$J,"是"))</f>
        <v/>
      </c>
      <c r="O368" s="31">
        <f>IF(A368="","",IF(F368="次卡",MAX(0,M368-N368),"—"))</f>
        <v/>
      </c>
      <c r="P368" s="31">
        <f>IF(A368="","",IF(F368="期限卡",MAX(0,I368-TODAY()),"—"))</f>
        <v/>
      </c>
      <c r="Q368" s="31">
        <f>IF(A368="","",IF(F368="次卡",IF(OR(K368="",K368=0,M368=0),"",K368/M368),IF(F368="期限卡",IF(AND(K368&lt;&gt;"",K368&lt;&gt;0,I368&gt;H368),K368/(I368-H368),""),"")))</f>
        <v/>
      </c>
      <c r="R368" s="31">
        <f>IF(A368="","",IF(F368="次卡",IF(OR(K368="",K368=0,M368=0),"",Q368*O368),IF(F368="期限卡",IF(AND(K368&lt;&gt;"",K368&lt;&gt;0,I368&gt;H368),Q368*P368,""),"")))</f>
        <v/>
      </c>
      <c r="S368" s="58">
        <f>IF(A368="","",IFERROR(_xlfn.MAXIFS(上课记录!$D:$D,上课记录!$B:$B,A368,上课记录!$J:$J,"是"),""))</f>
        <v/>
      </c>
      <c r="T368" s="31">
        <f>IF(A368="","",IF(S368="","",TODAY()-S368))</f>
        <v/>
      </c>
      <c r="U368" s="31">
        <f>IF(A368="","",IF(OR(AND(F368="次卡",O368=0),AND(F368="期限卡",P368=0)),"已到期",IF(T368&gt;=10,"沉睡客户",IF(T368&gt;=7,"预警客户","正常"))))</f>
        <v/>
      </c>
      <c r="V368" s="11" t="n"/>
      <c r="W368" s="11" t="n"/>
    </row>
    <row r="369">
      <c r="A369" s="44" t="n"/>
      <c r="B369" s="11" t="n"/>
      <c r="C369" s="11" t="n"/>
      <c r="D369" s="11" t="n"/>
      <c r="E369" s="11" t="n"/>
      <c r="F369" s="11" t="n"/>
      <c r="G369" s="55" t="n"/>
      <c r="H369" s="55" t="n"/>
      <c r="I369" s="55" t="n"/>
      <c r="J369" s="11" t="n"/>
      <c r="K369" s="56" t="n"/>
      <c r="L369" s="46">
        <f>K369-J369</f>
        <v/>
      </c>
      <c r="M369" s="47" t="n"/>
      <c r="N369" s="48">
        <f>IF(A369="","",COUNTIFS(上课记录!$B:$B,A369,上课记录!$J:$J,"是"))</f>
        <v/>
      </c>
      <c r="O369" s="31">
        <f>IF(A369="","",IF(F369="次卡",MAX(0,M369-N369),"—"))</f>
        <v/>
      </c>
      <c r="P369" s="31">
        <f>IF(A369="","",IF(F369="期限卡",MAX(0,I369-TODAY()),"—"))</f>
        <v/>
      </c>
      <c r="Q369" s="31">
        <f>IF(A369="","",IF(F369="次卡",IF(OR(K369="",K369=0,M369=0),"",K369/M369),IF(F369="期限卡",IF(AND(K369&lt;&gt;"",K369&lt;&gt;0,I369&gt;H369),K369/(I369-H369),""),"")))</f>
        <v/>
      </c>
      <c r="R369" s="31">
        <f>IF(A369="","",IF(F369="次卡",IF(OR(K369="",K369=0,M369=0),"",Q369*O369),IF(F369="期限卡",IF(AND(K369&lt;&gt;"",K369&lt;&gt;0,I369&gt;H369),Q369*P369,""),"")))</f>
        <v/>
      </c>
      <c r="S369" s="58">
        <f>IF(A369="","",IFERROR(_xlfn.MAXIFS(上课记录!$D:$D,上课记录!$B:$B,A369,上课记录!$J:$J,"是"),""))</f>
        <v/>
      </c>
      <c r="T369" s="31">
        <f>IF(A369="","",IF(S369="","",TODAY()-S369))</f>
        <v/>
      </c>
      <c r="U369" s="31">
        <f>IF(A369="","",IF(OR(AND(F369="次卡",O369=0),AND(F369="期限卡",P369=0)),"已到期",IF(T369&gt;=10,"沉睡客户",IF(T369&gt;=7,"预警客户","正常"))))</f>
        <v/>
      </c>
      <c r="V369" s="11" t="n"/>
      <c r="W369" s="11" t="n"/>
    </row>
    <row r="370">
      <c r="A370" s="44" t="n"/>
      <c r="B370" s="11" t="n"/>
      <c r="C370" s="11" t="n"/>
      <c r="D370" s="11" t="n"/>
      <c r="E370" s="11" t="n"/>
      <c r="F370" s="11" t="n"/>
      <c r="G370" s="55" t="n"/>
      <c r="H370" s="55" t="n"/>
      <c r="I370" s="55" t="n"/>
      <c r="J370" s="11" t="n"/>
      <c r="K370" s="56" t="n"/>
      <c r="L370" s="46">
        <f>K370-J370</f>
        <v/>
      </c>
      <c r="M370" s="47" t="n"/>
      <c r="N370" s="48">
        <f>IF(A370="","",COUNTIFS(上课记录!$B:$B,A370,上课记录!$J:$J,"是"))</f>
        <v/>
      </c>
      <c r="O370" s="31">
        <f>IF(A370="","",IF(F370="次卡",MAX(0,M370-N370),"—"))</f>
        <v/>
      </c>
      <c r="P370" s="31">
        <f>IF(A370="","",IF(F370="期限卡",MAX(0,I370-TODAY()),"—"))</f>
        <v/>
      </c>
      <c r="Q370" s="31">
        <f>IF(A370="","",IF(F370="次卡",IF(OR(K370="",K370=0,M370=0),"",K370/M370),IF(F370="期限卡",IF(AND(K370&lt;&gt;"",K370&lt;&gt;0,I370&gt;H370),K370/(I370-H370),""),"")))</f>
        <v/>
      </c>
      <c r="R370" s="31">
        <f>IF(A370="","",IF(F370="次卡",IF(OR(K370="",K370=0,M370=0),"",Q370*O370),IF(F370="期限卡",IF(AND(K370&lt;&gt;"",K370&lt;&gt;0,I370&gt;H370),Q370*P370,""),"")))</f>
        <v/>
      </c>
      <c r="S370" s="58">
        <f>IF(A370="","",IFERROR(_xlfn.MAXIFS(上课记录!$D:$D,上课记录!$B:$B,A370,上课记录!$J:$J,"是"),""))</f>
        <v/>
      </c>
      <c r="T370" s="31">
        <f>IF(A370="","",IF(S370="","",TODAY()-S370))</f>
        <v/>
      </c>
      <c r="U370" s="31">
        <f>IF(A370="","",IF(OR(AND(F370="次卡",O370=0),AND(F370="期限卡",P370=0)),"已到期",IF(T370&gt;=10,"沉睡客户",IF(T370&gt;=7,"预警客户","正常"))))</f>
        <v/>
      </c>
      <c r="V370" s="11" t="n"/>
      <c r="W370" s="11" t="n"/>
    </row>
    <row r="371">
      <c r="A371" s="44" t="n"/>
      <c r="B371" s="11" t="n"/>
      <c r="C371" s="11" t="n"/>
      <c r="D371" s="11" t="n"/>
      <c r="E371" s="11" t="n"/>
      <c r="F371" s="11" t="n"/>
      <c r="G371" s="55" t="n"/>
      <c r="H371" s="55" t="n"/>
      <c r="I371" s="55" t="n"/>
      <c r="J371" s="11" t="n"/>
      <c r="K371" s="56" t="n"/>
      <c r="L371" s="46">
        <f>K371-J371</f>
        <v/>
      </c>
      <c r="M371" s="47" t="n"/>
      <c r="N371" s="48">
        <f>IF(A371="","",COUNTIFS(上课记录!$B:$B,A371,上课记录!$J:$J,"是"))</f>
        <v/>
      </c>
      <c r="O371" s="31">
        <f>IF(A371="","",IF(F371="次卡",MAX(0,M371-N371),"—"))</f>
        <v/>
      </c>
      <c r="P371" s="31">
        <f>IF(A371="","",IF(F371="期限卡",MAX(0,I371-TODAY()),"—"))</f>
        <v/>
      </c>
      <c r="Q371" s="31">
        <f>IF(A371="","",IF(F371="次卡",IF(OR(K371="",K371=0,M371=0),"",K371/M371),IF(F371="期限卡",IF(AND(K371&lt;&gt;"",K371&lt;&gt;0,I371&gt;H371),K371/(I371-H371),""),"")))</f>
        <v/>
      </c>
      <c r="R371" s="31">
        <f>IF(A371="","",IF(F371="次卡",IF(OR(K371="",K371=0,M371=0),"",Q371*O371),IF(F371="期限卡",IF(AND(K371&lt;&gt;"",K371&lt;&gt;0,I371&gt;H371),Q371*P371,""),"")))</f>
        <v/>
      </c>
      <c r="S371" s="58">
        <f>IF(A371="","",IFERROR(_xlfn.MAXIFS(上课记录!$D:$D,上课记录!$B:$B,A371,上课记录!$J:$J,"是"),""))</f>
        <v/>
      </c>
      <c r="T371" s="31">
        <f>IF(A371="","",IF(S371="","",TODAY()-S371))</f>
        <v/>
      </c>
      <c r="U371" s="31">
        <f>IF(A371="","",IF(OR(AND(F371="次卡",O371=0),AND(F371="期限卡",P371=0)),"已到期",IF(T371&gt;=10,"沉睡客户",IF(T371&gt;=7,"预警客户","正常"))))</f>
        <v/>
      </c>
      <c r="V371" s="11" t="n"/>
      <c r="W371" s="11" t="n"/>
    </row>
    <row r="372">
      <c r="A372" s="44" t="n"/>
      <c r="B372" s="11" t="n"/>
      <c r="C372" s="11" t="n"/>
      <c r="D372" s="11" t="n"/>
      <c r="E372" s="11" t="n"/>
      <c r="F372" s="11" t="n"/>
      <c r="G372" s="55" t="n"/>
      <c r="H372" s="55" t="n"/>
      <c r="I372" s="55" t="n"/>
      <c r="J372" s="11" t="n"/>
      <c r="K372" s="56" t="n"/>
      <c r="L372" s="46">
        <f>K372-J372</f>
        <v/>
      </c>
      <c r="M372" s="47" t="n"/>
      <c r="N372" s="48">
        <f>IF(A372="","",COUNTIFS(上课记录!$B:$B,A372,上课记录!$J:$J,"是"))</f>
        <v/>
      </c>
      <c r="O372" s="31">
        <f>IF(A372="","",IF(F372="次卡",MAX(0,M372-N372),"—"))</f>
        <v/>
      </c>
      <c r="P372" s="31">
        <f>IF(A372="","",IF(F372="期限卡",MAX(0,I372-TODAY()),"—"))</f>
        <v/>
      </c>
      <c r="Q372" s="31">
        <f>IF(A372="","",IF(F372="次卡",IF(OR(K372="",K372=0,M372=0),"",K372/M372),IF(F372="期限卡",IF(AND(K372&lt;&gt;"",K372&lt;&gt;0,I372&gt;H372),K372/(I372-H372),""),"")))</f>
        <v/>
      </c>
      <c r="R372" s="31">
        <f>IF(A372="","",IF(F372="次卡",IF(OR(K372="",K372=0,M372=0),"",Q372*O372),IF(F372="期限卡",IF(AND(K372&lt;&gt;"",K372&lt;&gt;0,I372&gt;H372),Q372*P372,""),"")))</f>
        <v/>
      </c>
      <c r="S372" s="58">
        <f>IF(A372="","",IFERROR(_xlfn.MAXIFS(上课记录!$D:$D,上课记录!$B:$B,A372,上课记录!$J:$J,"是"),""))</f>
        <v/>
      </c>
      <c r="T372" s="31">
        <f>IF(A372="","",IF(S372="","",TODAY()-S372))</f>
        <v/>
      </c>
      <c r="U372" s="31">
        <f>IF(A372="","",IF(OR(AND(F372="次卡",O372=0),AND(F372="期限卡",P372=0)),"已到期",IF(T372&gt;=10,"沉睡客户",IF(T372&gt;=7,"预警客户","正常"))))</f>
        <v/>
      </c>
      <c r="V372" s="11" t="n"/>
      <c r="W372" s="11" t="n"/>
    </row>
    <row r="373">
      <c r="A373" s="44" t="n"/>
      <c r="B373" s="11" t="n"/>
      <c r="C373" s="11" t="n"/>
      <c r="D373" s="11" t="n"/>
      <c r="E373" s="11" t="n"/>
      <c r="F373" s="11" t="n"/>
      <c r="G373" s="55" t="n"/>
      <c r="H373" s="55" t="n"/>
      <c r="I373" s="55" t="n"/>
      <c r="J373" s="11" t="n"/>
      <c r="K373" s="56" t="n"/>
      <c r="L373" s="46">
        <f>K373-J373</f>
        <v/>
      </c>
      <c r="M373" s="47" t="n"/>
      <c r="N373" s="48">
        <f>IF(A373="","",COUNTIFS(上课记录!$B:$B,A373,上课记录!$J:$J,"是"))</f>
        <v/>
      </c>
      <c r="O373" s="31">
        <f>IF(A373="","",IF(F373="次卡",MAX(0,M373-N373),"—"))</f>
        <v/>
      </c>
      <c r="P373" s="31">
        <f>IF(A373="","",IF(F373="期限卡",MAX(0,I373-TODAY()),"—"))</f>
        <v/>
      </c>
      <c r="Q373" s="31">
        <f>IF(A373="","",IF(F373="次卡",IF(OR(K373="",K373=0,M373=0),"",K373/M373),IF(F373="期限卡",IF(AND(K373&lt;&gt;"",K373&lt;&gt;0,I373&gt;H373),K373/(I373-H373),""),"")))</f>
        <v/>
      </c>
      <c r="R373" s="31">
        <f>IF(A373="","",IF(F373="次卡",IF(OR(K373="",K373=0,M373=0),"",Q373*O373),IF(F373="期限卡",IF(AND(K373&lt;&gt;"",K373&lt;&gt;0,I373&gt;H373),Q373*P373,""),"")))</f>
        <v/>
      </c>
      <c r="S373" s="58">
        <f>IF(A373="","",IFERROR(_xlfn.MAXIFS(上课记录!$D:$D,上课记录!$B:$B,A373,上课记录!$J:$J,"是"),""))</f>
        <v/>
      </c>
      <c r="T373" s="31">
        <f>IF(A373="","",IF(S373="","",TODAY()-S373))</f>
        <v/>
      </c>
      <c r="U373" s="31">
        <f>IF(A373="","",IF(OR(AND(F373="次卡",O373=0),AND(F373="期限卡",P373=0)),"已到期",IF(T373&gt;=10,"沉睡客户",IF(T373&gt;=7,"预警客户","正常"))))</f>
        <v/>
      </c>
      <c r="V373" s="11" t="n"/>
      <c r="W373" s="11" t="n"/>
    </row>
    <row r="374">
      <c r="A374" s="44" t="n"/>
      <c r="B374" s="11" t="n"/>
      <c r="C374" s="11" t="n"/>
      <c r="D374" s="11" t="n"/>
      <c r="E374" s="11" t="n"/>
      <c r="F374" s="11" t="n"/>
      <c r="G374" s="55" t="n"/>
      <c r="H374" s="55" t="n"/>
      <c r="I374" s="55" t="n"/>
      <c r="J374" s="11" t="n"/>
      <c r="K374" s="56" t="n"/>
      <c r="L374" s="46">
        <f>K374-J374</f>
        <v/>
      </c>
      <c r="M374" s="47" t="n"/>
      <c r="N374" s="48">
        <f>IF(A374="","",COUNTIFS(上课记录!$B:$B,A374,上课记录!$J:$J,"是"))</f>
        <v/>
      </c>
      <c r="O374" s="31">
        <f>IF(A374="","",IF(F374="次卡",MAX(0,M374-N374),"—"))</f>
        <v/>
      </c>
      <c r="P374" s="31">
        <f>IF(A374="","",IF(F374="期限卡",MAX(0,I374-TODAY()),"—"))</f>
        <v/>
      </c>
      <c r="Q374" s="31">
        <f>IF(A374="","",IF(F374="次卡",IF(OR(K374="",K374=0,M374=0),"",K374/M374),IF(F374="期限卡",IF(AND(K374&lt;&gt;"",K374&lt;&gt;0,I374&gt;H374),K374/(I374-H374),""),"")))</f>
        <v/>
      </c>
      <c r="R374" s="31">
        <f>IF(A374="","",IF(F374="次卡",IF(OR(K374="",K374=0,M374=0),"",Q374*O374),IF(F374="期限卡",IF(AND(K374&lt;&gt;"",K374&lt;&gt;0,I374&gt;H374),Q374*P374,""),"")))</f>
        <v/>
      </c>
      <c r="S374" s="58">
        <f>IF(A374="","",IFERROR(_xlfn.MAXIFS(上课记录!$D:$D,上课记录!$B:$B,A374,上课记录!$J:$J,"是"),""))</f>
        <v/>
      </c>
      <c r="T374" s="31">
        <f>IF(A374="","",IF(S374="","",TODAY()-S374))</f>
        <v/>
      </c>
      <c r="U374" s="31">
        <f>IF(A374="","",IF(OR(AND(F374="次卡",O374=0),AND(F374="期限卡",P374=0)),"已到期",IF(T374&gt;=10,"沉睡客户",IF(T374&gt;=7,"预警客户","正常"))))</f>
        <v/>
      </c>
      <c r="V374" s="11" t="n"/>
      <c r="W374" s="11" t="n"/>
    </row>
    <row r="375">
      <c r="A375" s="44" t="n"/>
      <c r="B375" s="11" t="n"/>
      <c r="C375" s="11" t="n"/>
      <c r="D375" s="11" t="n"/>
      <c r="E375" s="11" t="n"/>
      <c r="F375" s="11" t="n"/>
      <c r="G375" s="55" t="n"/>
      <c r="H375" s="55" t="n"/>
      <c r="I375" s="55" t="n"/>
      <c r="J375" s="11" t="n"/>
      <c r="K375" s="56" t="n"/>
      <c r="L375" s="46">
        <f>K375-J375</f>
        <v/>
      </c>
      <c r="M375" s="47" t="n"/>
      <c r="N375" s="48">
        <f>IF(A375="","",COUNTIFS(上课记录!$B:$B,A375,上课记录!$J:$J,"是"))</f>
        <v/>
      </c>
      <c r="O375" s="31">
        <f>IF(A375="","",IF(F375="次卡",MAX(0,M375-N375),"—"))</f>
        <v/>
      </c>
      <c r="P375" s="31">
        <f>IF(A375="","",IF(F375="期限卡",MAX(0,I375-TODAY()),"—"))</f>
        <v/>
      </c>
      <c r="Q375" s="31">
        <f>IF(A375="","",IF(F375="次卡",IF(OR(K375="",K375=0,M375=0),"",K375/M375),IF(F375="期限卡",IF(AND(K375&lt;&gt;"",K375&lt;&gt;0,I375&gt;H375),K375/(I375-H375),""),"")))</f>
        <v/>
      </c>
      <c r="R375" s="31">
        <f>IF(A375="","",IF(F375="次卡",IF(OR(K375="",K375=0,M375=0),"",Q375*O375),IF(F375="期限卡",IF(AND(K375&lt;&gt;"",K375&lt;&gt;0,I375&gt;H375),Q375*P375,""),"")))</f>
        <v/>
      </c>
      <c r="S375" s="58">
        <f>IF(A375="","",IFERROR(_xlfn.MAXIFS(上课记录!$D:$D,上课记录!$B:$B,A375,上课记录!$J:$J,"是"),""))</f>
        <v/>
      </c>
      <c r="T375" s="31">
        <f>IF(A375="","",IF(S375="","",TODAY()-S375))</f>
        <v/>
      </c>
      <c r="U375" s="31">
        <f>IF(A375="","",IF(OR(AND(F375="次卡",O375=0),AND(F375="期限卡",P375=0)),"已到期",IF(T375&gt;=10,"沉睡客户",IF(T375&gt;=7,"预警客户","正常"))))</f>
        <v/>
      </c>
      <c r="V375" s="11" t="n"/>
      <c r="W375" s="11" t="n"/>
    </row>
    <row r="376">
      <c r="A376" s="44" t="n"/>
      <c r="B376" s="11" t="n"/>
      <c r="C376" s="11" t="n"/>
      <c r="D376" s="11" t="n"/>
      <c r="E376" s="11" t="n"/>
      <c r="F376" s="11" t="n"/>
      <c r="G376" s="55" t="n"/>
      <c r="H376" s="55" t="n"/>
      <c r="I376" s="55" t="n"/>
      <c r="J376" s="11" t="n"/>
      <c r="K376" s="56" t="n"/>
      <c r="L376" s="46">
        <f>K376-J376</f>
        <v/>
      </c>
      <c r="M376" s="47" t="n"/>
      <c r="N376" s="48">
        <f>IF(A376="","",COUNTIFS(上课记录!$B:$B,A376,上课记录!$J:$J,"是"))</f>
        <v/>
      </c>
      <c r="O376" s="31">
        <f>IF(A376="","",IF(F376="次卡",MAX(0,M376-N376),"—"))</f>
        <v/>
      </c>
      <c r="P376" s="31">
        <f>IF(A376="","",IF(F376="期限卡",MAX(0,I376-TODAY()),"—"))</f>
        <v/>
      </c>
      <c r="Q376" s="31">
        <f>IF(A376="","",IF(F376="次卡",IF(OR(K376="",K376=0,M376=0),"",K376/M376),IF(F376="期限卡",IF(AND(K376&lt;&gt;"",K376&lt;&gt;0,I376&gt;H376),K376/(I376-H376),""),"")))</f>
        <v/>
      </c>
      <c r="R376" s="31">
        <f>IF(A376="","",IF(F376="次卡",IF(OR(K376="",K376=0,M376=0),"",Q376*O376),IF(F376="期限卡",IF(AND(K376&lt;&gt;"",K376&lt;&gt;0,I376&gt;H376),Q376*P376,""),"")))</f>
        <v/>
      </c>
      <c r="S376" s="58">
        <f>IF(A376="","",IFERROR(_xlfn.MAXIFS(上课记录!$D:$D,上课记录!$B:$B,A376,上课记录!$J:$J,"是"),""))</f>
        <v/>
      </c>
      <c r="T376" s="31">
        <f>IF(A376="","",IF(S376="","",TODAY()-S376))</f>
        <v/>
      </c>
      <c r="U376" s="31">
        <f>IF(A376="","",IF(OR(AND(F376="次卡",O376=0),AND(F376="期限卡",P376=0)),"已到期",IF(T376&gt;=10,"沉睡客户",IF(T376&gt;=7,"预警客户","正常"))))</f>
        <v/>
      </c>
      <c r="V376" s="11" t="n"/>
      <c r="W376" s="11" t="n"/>
    </row>
    <row r="377">
      <c r="A377" s="44" t="n"/>
      <c r="B377" s="11" t="n"/>
      <c r="C377" s="11" t="n"/>
      <c r="D377" s="11" t="n"/>
      <c r="E377" s="11" t="n"/>
      <c r="F377" s="11" t="n"/>
      <c r="G377" s="55" t="n"/>
      <c r="H377" s="55" t="n"/>
      <c r="I377" s="55" t="n"/>
      <c r="J377" s="11" t="n"/>
      <c r="K377" s="56" t="n"/>
      <c r="L377" s="46">
        <f>K377-J377</f>
        <v/>
      </c>
      <c r="M377" s="47" t="n"/>
      <c r="N377" s="48">
        <f>IF(A377="","",COUNTIFS(上课记录!$B:$B,A377,上课记录!$J:$J,"是"))</f>
        <v/>
      </c>
      <c r="O377" s="31">
        <f>IF(A377="","",IF(F377="次卡",MAX(0,M377-N377),"—"))</f>
        <v/>
      </c>
      <c r="P377" s="31">
        <f>IF(A377="","",IF(F377="期限卡",MAX(0,I377-TODAY()),"—"))</f>
        <v/>
      </c>
      <c r="Q377" s="31">
        <f>IF(A377="","",IF(F377="次卡",IF(OR(K377="",K377=0,M377=0),"",K377/M377),IF(F377="期限卡",IF(AND(K377&lt;&gt;"",K377&lt;&gt;0,I377&gt;H377),K377/(I377-H377),""),"")))</f>
        <v/>
      </c>
      <c r="R377" s="31">
        <f>IF(A377="","",IF(F377="次卡",IF(OR(K377="",K377=0,M377=0),"",Q377*O377),IF(F377="期限卡",IF(AND(K377&lt;&gt;"",K377&lt;&gt;0,I377&gt;H377),Q377*P377,""),"")))</f>
        <v/>
      </c>
      <c r="S377" s="58">
        <f>IF(A377="","",IFERROR(_xlfn.MAXIFS(上课记录!$D:$D,上课记录!$B:$B,A377,上课记录!$J:$J,"是"),""))</f>
        <v/>
      </c>
      <c r="T377" s="31">
        <f>IF(A377="","",IF(S377="","",TODAY()-S377))</f>
        <v/>
      </c>
      <c r="U377" s="31">
        <f>IF(A377="","",IF(OR(AND(F377="次卡",O377=0),AND(F377="期限卡",P377=0)),"已到期",IF(T377&gt;=10,"沉睡客户",IF(T377&gt;=7,"预警客户","正常"))))</f>
        <v/>
      </c>
      <c r="V377" s="11" t="n"/>
      <c r="W377" s="11" t="n"/>
    </row>
    <row r="378">
      <c r="A378" s="44" t="n"/>
      <c r="B378" s="11" t="n"/>
      <c r="C378" s="11" t="n"/>
      <c r="D378" s="11" t="n"/>
      <c r="E378" s="11" t="n"/>
      <c r="F378" s="11" t="n"/>
      <c r="G378" s="55" t="n"/>
      <c r="H378" s="55" t="n"/>
      <c r="I378" s="55" t="n"/>
      <c r="J378" s="11" t="n"/>
      <c r="K378" s="56" t="n"/>
      <c r="L378" s="46">
        <f>K378-J378</f>
        <v/>
      </c>
      <c r="M378" s="47" t="n"/>
      <c r="N378" s="48">
        <f>IF(A378="","",COUNTIFS(上课记录!$B:$B,A378,上课记录!$J:$J,"是"))</f>
        <v/>
      </c>
      <c r="O378" s="31">
        <f>IF(A378="","",IF(F378="次卡",MAX(0,M378-N378),"—"))</f>
        <v/>
      </c>
      <c r="P378" s="31">
        <f>IF(A378="","",IF(F378="期限卡",MAX(0,I378-TODAY()),"—"))</f>
        <v/>
      </c>
      <c r="Q378" s="31">
        <f>IF(A378="","",IF(F378="次卡",IF(OR(K378="",K378=0,M378=0),"",K378/M378),IF(F378="期限卡",IF(AND(K378&lt;&gt;"",K378&lt;&gt;0,I378&gt;H378),K378/(I378-H378),""),"")))</f>
        <v/>
      </c>
      <c r="R378" s="31">
        <f>IF(A378="","",IF(F378="次卡",IF(OR(K378="",K378=0,M378=0),"",Q378*O378),IF(F378="期限卡",IF(AND(K378&lt;&gt;"",K378&lt;&gt;0,I378&gt;H378),Q378*P378,""),"")))</f>
        <v/>
      </c>
      <c r="S378" s="58">
        <f>IF(A378="","",IFERROR(_xlfn.MAXIFS(上课记录!$D:$D,上课记录!$B:$B,A378,上课记录!$J:$J,"是"),""))</f>
        <v/>
      </c>
      <c r="T378" s="31">
        <f>IF(A378="","",IF(S378="","",TODAY()-S378))</f>
        <v/>
      </c>
      <c r="U378" s="31">
        <f>IF(A378="","",IF(OR(AND(F378="次卡",O378=0),AND(F378="期限卡",P378=0)),"已到期",IF(T378&gt;=10,"沉睡客户",IF(T378&gt;=7,"预警客户","正常"))))</f>
        <v/>
      </c>
      <c r="V378" s="11" t="n"/>
      <c r="W378" s="11" t="n"/>
    </row>
    <row r="379">
      <c r="A379" s="44" t="n"/>
      <c r="B379" s="11" t="n"/>
      <c r="C379" s="11" t="n"/>
      <c r="D379" s="11" t="n"/>
      <c r="E379" s="11" t="n"/>
      <c r="F379" s="11" t="n"/>
      <c r="G379" s="55" t="n"/>
      <c r="H379" s="55" t="n"/>
      <c r="I379" s="55" t="n"/>
      <c r="J379" s="11" t="n"/>
      <c r="K379" s="56" t="n"/>
      <c r="L379" s="46">
        <f>K379-J379</f>
        <v/>
      </c>
      <c r="M379" s="47" t="n"/>
      <c r="N379" s="48">
        <f>IF(A379="","",COUNTIFS(上课记录!$B:$B,A379,上课记录!$J:$J,"是"))</f>
        <v/>
      </c>
      <c r="O379" s="31">
        <f>IF(A379="","",IF(F379="次卡",MAX(0,M379-N379),"—"))</f>
        <v/>
      </c>
      <c r="P379" s="31">
        <f>IF(A379="","",IF(F379="期限卡",MAX(0,I379-TODAY()),"—"))</f>
        <v/>
      </c>
      <c r="Q379" s="31">
        <f>IF(A379="","",IF(F379="次卡",IF(OR(K379="",K379=0,M379=0),"",K379/M379),IF(F379="期限卡",IF(AND(K379&lt;&gt;"",K379&lt;&gt;0,I379&gt;H379),K379/(I379-H379),""),"")))</f>
        <v/>
      </c>
      <c r="R379" s="31">
        <f>IF(A379="","",IF(F379="次卡",IF(OR(K379="",K379=0,M379=0),"",Q379*O379),IF(F379="期限卡",IF(AND(K379&lt;&gt;"",K379&lt;&gt;0,I379&gt;H379),Q379*P379,""),"")))</f>
        <v/>
      </c>
      <c r="S379" s="58">
        <f>IF(A379="","",IFERROR(_xlfn.MAXIFS(上课记录!$D:$D,上课记录!$B:$B,A379,上课记录!$J:$J,"是"),""))</f>
        <v/>
      </c>
      <c r="T379" s="31">
        <f>IF(A379="","",IF(S379="","",TODAY()-S379))</f>
        <v/>
      </c>
      <c r="U379" s="31">
        <f>IF(A379="","",IF(OR(AND(F379="次卡",O379=0),AND(F379="期限卡",P379=0)),"已到期",IF(T379&gt;=10,"沉睡客户",IF(T379&gt;=7,"预警客户","正常"))))</f>
        <v/>
      </c>
      <c r="V379" s="11" t="n"/>
      <c r="W379" s="11" t="n"/>
    </row>
    <row r="380">
      <c r="A380" s="44" t="n"/>
      <c r="B380" s="11" t="n"/>
      <c r="C380" s="11" t="n"/>
      <c r="D380" s="11" t="n"/>
      <c r="E380" s="11" t="n"/>
      <c r="F380" s="11" t="n"/>
      <c r="G380" s="55" t="n"/>
      <c r="H380" s="55" t="n"/>
      <c r="I380" s="55" t="n"/>
      <c r="J380" s="11" t="n"/>
      <c r="K380" s="56" t="n"/>
      <c r="L380" s="46">
        <f>K380-J380</f>
        <v/>
      </c>
      <c r="M380" s="47" t="n"/>
      <c r="N380" s="48">
        <f>IF(A380="","",COUNTIFS(上课记录!$B:$B,A380,上课记录!$J:$J,"是"))</f>
        <v/>
      </c>
      <c r="O380" s="31">
        <f>IF(A380="","",IF(F380="次卡",MAX(0,M380-N380),"—"))</f>
        <v/>
      </c>
      <c r="P380" s="31">
        <f>IF(A380="","",IF(F380="期限卡",MAX(0,I380-TODAY()),"—"))</f>
        <v/>
      </c>
      <c r="Q380" s="31">
        <f>IF(A380="","",IF(F380="次卡",IF(OR(K380="",K380=0,M380=0),"",K380/M380),IF(F380="期限卡",IF(AND(K380&lt;&gt;"",K380&lt;&gt;0,I380&gt;H380),K380/(I380-H380),""),"")))</f>
        <v/>
      </c>
      <c r="R380" s="31">
        <f>IF(A380="","",IF(F380="次卡",IF(OR(K380="",K380=0,M380=0),"",Q380*O380),IF(F380="期限卡",IF(AND(K380&lt;&gt;"",K380&lt;&gt;0,I380&gt;H380),Q380*P380,""),"")))</f>
        <v/>
      </c>
      <c r="S380" s="58">
        <f>IF(A380="","",IFERROR(_xlfn.MAXIFS(上课记录!$D:$D,上课记录!$B:$B,A380,上课记录!$J:$J,"是"),""))</f>
        <v/>
      </c>
      <c r="T380" s="31">
        <f>IF(A380="","",IF(S380="","",TODAY()-S380))</f>
        <v/>
      </c>
      <c r="U380" s="31">
        <f>IF(A380="","",IF(OR(AND(F380="次卡",O380=0),AND(F380="期限卡",P380=0)),"已到期",IF(T380&gt;=10,"沉睡客户",IF(T380&gt;=7,"预警客户","正常"))))</f>
        <v/>
      </c>
      <c r="V380" s="11" t="n"/>
      <c r="W380" s="11" t="n"/>
    </row>
    <row r="381">
      <c r="A381" s="44" t="n"/>
      <c r="B381" s="11" t="n"/>
      <c r="C381" s="11" t="n"/>
      <c r="D381" s="11" t="n"/>
      <c r="E381" s="11" t="n"/>
      <c r="F381" s="11" t="n"/>
      <c r="G381" s="55" t="n"/>
      <c r="H381" s="55" t="n"/>
      <c r="I381" s="55" t="n"/>
      <c r="J381" s="11" t="n"/>
      <c r="K381" s="56" t="n"/>
      <c r="L381" s="46">
        <f>K381-J381</f>
        <v/>
      </c>
      <c r="M381" s="47" t="n"/>
      <c r="N381" s="48">
        <f>IF(A381="","",COUNTIFS(上课记录!$B:$B,A381,上课记录!$J:$J,"是"))</f>
        <v/>
      </c>
      <c r="O381" s="31">
        <f>IF(A381="","",IF(F381="次卡",MAX(0,M381-N381),"—"))</f>
        <v/>
      </c>
      <c r="P381" s="31">
        <f>IF(A381="","",IF(F381="期限卡",MAX(0,I381-TODAY()),"—"))</f>
        <v/>
      </c>
      <c r="Q381" s="31">
        <f>IF(A381="","",IF(F381="次卡",IF(OR(K381="",K381=0,M381=0),"",K381/M381),IF(F381="期限卡",IF(AND(K381&lt;&gt;"",K381&lt;&gt;0,I381&gt;H381),K381/(I381-H381),""),"")))</f>
        <v/>
      </c>
      <c r="R381" s="31">
        <f>IF(A381="","",IF(F381="次卡",IF(OR(K381="",K381=0,M381=0),"",Q381*O381),IF(F381="期限卡",IF(AND(K381&lt;&gt;"",K381&lt;&gt;0,I381&gt;H381),Q381*P381,""),"")))</f>
        <v/>
      </c>
      <c r="S381" s="58">
        <f>IF(A381="","",IFERROR(_xlfn.MAXIFS(上课记录!$D:$D,上课记录!$B:$B,A381,上课记录!$J:$J,"是"),""))</f>
        <v/>
      </c>
      <c r="T381" s="31">
        <f>IF(A381="","",IF(S381="","",TODAY()-S381))</f>
        <v/>
      </c>
      <c r="U381" s="31">
        <f>IF(A381="","",IF(OR(AND(F381="次卡",O381=0),AND(F381="期限卡",P381=0)),"已到期",IF(T381&gt;=10,"沉睡客户",IF(T381&gt;=7,"预警客户","正常"))))</f>
        <v/>
      </c>
      <c r="V381" s="11" t="n"/>
      <c r="W381" s="11" t="n"/>
    </row>
    <row r="382">
      <c r="A382" s="44" t="n"/>
      <c r="B382" s="11" t="n"/>
      <c r="C382" s="11" t="n"/>
      <c r="D382" s="11" t="n"/>
      <c r="E382" s="11" t="n"/>
      <c r="F382" s="11" t="n"/>
      <c r="G382" s="55" t="n"/>
      <c r="H382" s="55" t="n"/>
      <c r="I382" s="55" t="n"/>
      <c r="J382" s="11" t="n"/>
      <c r="K382" s="56" t="n"/>
      <c r="L382" s="46">
        <f>K382-J382</f>
        <v/>
      </c>
      <c r="M382" s="47" t="n"/>
      <c r="N382" s="48">
        <f>IF(A382="","",COUNTIFS(上课记录!$B:$B,A382,上课记录!$J:$J,"是"))</f>
        <v/>
      </c>
      <c r="O382" s="31">
        <f>IF(A382="","",IF(F382="次卡",MAX(0,M382-N382),"—"))</f>
        <v/>
      </c>
      <c r="P382" s="31">
        <f>IF(A382="","",IF(F382="期限卡",MAX(0,I382-TODAY()),"—"))</f>
        <v/>
      </c>
      <c r="Q382" s="31">
        <f>IF(A382="","",IF(F382="次卡",IF(OR(K382="",K382=0,M382=0),"",K382/M382),IF(F382="期限卡",IF(AND(K382&lt;&gt;"",K382&lt;&gt;0,I382&gt;H382),K382/(I382-H382),""),"")))</f>
        <v/>
      </c>
      <c r="R382" s="31">
        <f>IF(A382="","",IF(F382="次卡",IF(OR(K382="",K382=0,M382=0),"",Q382*O382),IF(F382="期限卡",IF(AND(K382&lt;&gt;"",K382&lt;&gt;0,I382&gt;H382),Q382*P382,""),"")))</f>
        <v/>
      </c>
      <c r="S382" s="58">
        <f>IF(A382="","",IFERROR(_xlfn.MAXIFS(上课记录!$D:$D,上课记录!$B:$B,A382,上课记录!$J:$J,"是"),""))</f>
        <v/>
      </c>
      <c r="T382" s="31">
        <f>IF(A382="","",IF(S382="","",TODAY()-S382))</f>
        <v/>
      </c>
      <c r="U382" s="31">
        <f>IF(A382="","",IF(OR(AND(F382="次卡",O382=0),AND(F382="期限卡",P382=0)),"已到期",IF(T382&gt;=10,"沉睡客户",IF(T382&gt;=7,"预警客户","正常"))))</f>
        <v/>
      </c>
      <c r="V382" s="11" t="n"/>
      <c r="W382" s="11" t="n"/>
    </row>
    <row r="383">
      <c r="A383" s="44" t="n"/>
      <c r="B383" s="11" t="n"/>
      <c r="C383" s="11" t="n"/>
      <c r="D383" s="11" t="n"/>
      <c r="E383" s="11" t="n"/>
      <c r="F383" s="11" t="n"/>
      <c r="G383" s="55" t="n"/>
      <c r="H383" s="55" t="n"/>
      <c r="I383" s="55" t="n"/>
      <c r="J383" s="11" t="n"/>
      <c r="K383" s="56" t="n"/>
      <c r="L383" s="46">
        <f>K383-J383</f>
        <v/>
      </c>
      <c r="M383" s="47" t="n"/>
      <c r="N383" s="48">
        <f>IF(A383="","",COUNTIFS(上课记录!$B:$B,A383,上课记录!$J:$J,"是"))</f>
        <v/>
      </c>
      <c r="O383" s="31">
        <f>IF(A383="","",IF(F383="次卡",MAX(0,M383-N383),"—"))</f>
        <v/>
      </c>
      <c r="P383" s="31">
        <f>IF(A383="","",IF(F383="期限卡",MAX(0,I383-TODAY()),"—"))</f>
        <v/>
      </c>
      <c r="Q383" s="31">
        <f>IF(A383="","",IF(F383="次卡",IF(OR(K383="",K383=0,M383=0),"",K383/M383),IF(F383="期限卡",IF(AND(K383&lt;&gt;"",K383&lt;&gt;0,I383&gt;H383),K383/(I383-H383),""),"")))</f>
        <v/>
      </c>
      <c r="R383" s="31">
        <f>IF(A383="","",IF(F383="次卡",IF(OR(K383="",K383=0,M383=0),"",Q383*O383),IF(F383="期限卡",IF(AND(K383&lt;&gt;"",K383&lt;&gt;0,I383&gt;H383),Q383*P383,""),"")))</f>
        <v/>
      </c>
      <c r="S383" s="58">
        <f>IF(A383="","",IFERROR(_xlfn.MAXIFS(上课记录!$D:$D,上课记录!$B:$B,A383,上课记录!$J:$J,"是"),""))</f>
        <v/>
      </c>
      <c r="T383" s="31">
        <f>IF(A383="","",IF(S383="","",TODAY()-S383))</f>
        <v/>
      </c>
      <c r="U383" s="31">
        <f>IF(A383="","",IF(OR(AND(F383="次卡",O383=0),AND(F383="期限卡",P383=0)),"已到期",IF(T383&gt;=10,"沉睡客户",IF(T383&gt;=7,"预警客户","正常"))))</f>
        <v/>
      </c>
      <c r="V383" s="11" t="n"/>
      <c r="W383" s="11" t="n"/>
    </row>
    <row r="384">
      <c r="A384" s="44" t="n"/>
      <c r="B384" s="11" t="n"/>
      <c r="C384" s="11" t="n"/>
      <c r="D384" s="11" t="n"/>
      <c r="E384" s="11" t="n"/>
      <c r="F384" s="11" t="n"/>
      <c r="G384" s="55" t="n"/>
      <c r="H384" s="55" t="n"/>
      <c r="I384" s="55" t="n"/>
      <c r="J384" s="11" t="n"/>
      <c r="K384" s="56" t="n"/>
      <c r="L384" s="46">
        <f>K384-J384</f>
        <v/>
      </c>
      <c r="M384" s="47" t="n"/>
      <c r="N384" s="48">
        <f>IF(A384="","",COUNTIFS(上课记录!$B:$B,A384,上课记录!$J:$J,"是"))</f>
        <v/>
      </c>
      <c r="O384" s="31">
        <f>IF(A384="","",IF(F384="次卡",MAX(0,M384-N384),"—"))</f>
        <v/>
      </c>
      <c r="P384" s="31">
        <f>IF(A384="","",IF(F384="期限卡",MAX(0,I384-TODAY()),"—"))</f>
        <v/>
      </c>
      <c r="Q384" s="31">
        <f>IF(A384="","",IF(F384="次卡",IF(OR(K384="",K384=0,M384=0),"",K384/M384),IF(F384="期限卡",IF(AND(K384&lt;&gt;"",K384&lt;&gt;0,I384&gt;H384),K384/(I384-H384),""),"")))</f>
        <v/>
      </c>
      <c r="R384" s="31">
        <f>IF(A384="","",IF(F384="次卡",IF(OR(K384="",K384=0,M384=0),"",Q384*O384),IF(F384="期限卡",IF(AND(K384&lt;&gt;"",K384&lt;&gt;0,I384&gt;H384),Q384*P384,""),"")))</f>
        <v/>
      </c>
      <c r="S384" s="58">
        <f>IF(A384="","",IFERROR(_xlfn.MAXIFS(上课记录!$D:$D,上课记录!$B:$B,A384,上课记录!$J:$J,"是"),""))</f>
        <v/>
      </c>
      <c r="T384" s="31">
        <f>IF(A384="","",IF(S384="","",TODAY()-S384))</f>
        <v/>
      </c>
      <c r="U384" s="31">
        <f>IF(A384="","",IF(OR(AND(F384="次卡",O384=0),AND(F384="期限卡",P384=0)),"已到期",IF(T384&gt;=10,"沉睡客户",IF(T384&gt;=7,"预警客户","正常"))))</f>
        <v/>
      </c>
      <c r="V384" s="11" t="n"/>
      <c r="W384" s="11" t="n"/>
    </row>
    <row r="385">
      <c r="A385" s="44" t="n"/>
      <c r="B385" s="11" t="n"/>
      <c r="C385" s="11" t="n"/>
      <c r="D385" s="11" t="n"/>
      <c r="E385" s="11" t="n"/>
      <c r="F385" s="11" t="n"/>
      <c r="G385" s="55" t="n"/>
      <c r="H385" s="55" t="n"/>
      <c r="I385" s="55" t="n"/>
      <c r="J385" s="11" t="n"/>
      <c r="K385" s="56" t="n"/>
      <c r="L385" s="46">
        <f>K385-J385</f>
        <v/>
      </c>
      <c r="M385" s="47" t="n"/>
      <c r="N385" s="48">
        <f>IF(A385="","",COUNTIFS(上课记录!$B:$B,A385,上课记录!$J:$J,"是"))</f>
        <v/>
      </c>
      <c r="O385" s="31">
        <f>IF(A385="","",IF(F385="次卡",MAX(0,M385-N385),"—"))</f>
        <v/>
      </c>
      <c r="P385" s="31">
        <f>IF(A385="","",IF(F385="期限卡",MAX(0,I385-TODAY()),"—"))</f>
        <v/>
      </c>
      <c r="Q385" s="31">
        <f>IF(A385="","",IF(F385="次卡",IF(OR(K385="",K385=0,M385=0),"",K385/M385),IF(F385="期限卡",IF(AND(K385&lt;&gt;"",K385&lt;&gt;0,I385&gt;H385),K385/(I385-H385),""),"")))</f>
        <v/>
      </c>
      <c r="R385" s="31">
        <f>IF(A385="","",IF(F385="次卡",IF(OR(K385="",K385=0,M385=0),"",Q385*O385),IF(F385="期限卡",IF(AND(K385&lt;&gt;"",K385&lt;&gt;0,I385&gt;H385),Q385*P385,""),"")))</f>
        <v/>
      </c>
      <c r="S385" s="58">
        <f>IF(A385="","",IFERROR(_xlfn.MAXIFS(上课记录!$D:$D,上课记录!$B:$B,A385,上课记录!$J:$J,"是"),""))</f>
        <v/>
      </c>
      <c r="T385" s="31">
        <f>IF(A385="","",IF(S385="","",TODAY()-S385))</f>
        <v/>
      </c>
      <c r="U385" s="31">
        <f>IF(A385="","",IF(OR(AND(F385="次卡",O385=0),AND(F385="期限卡",P385=0)),"已到期",IF(T385&gt;=10,"沉睡客户",IF(T385&gt;=7,"预警客户","正常"))))</f>
        <v/>
      </c>
      <c r="V385" s="11" t="n"/>
      <c r="W385" s="11" t="n"/>
    </row>
    <row r="386">
      <c r="A386" s="44" t="n"/>
      <c r="B386" s="11" t="n"/>
      <c r="C386" s="11" t="n"/>
      <c r="D386" s="11" t="n"/>
      <c r="E386" s="11" t="n"/>
      <c r="F386" s="11" t="n"/>
      <c r="G386" s="55" t="n"/>
      <c r="H386" s="55" t="n"/>
      <c r="I386" s="55" t="n"/>
      <c r="J386" s="11" t="n"/>
      <c r="K386" s="56" t="n"/>
      <c r="L386" s="46">
        <f>K386-J386</f>
        <v/>
      </c>
      <c r="M386" s="47" t="n"/>
      <c r="N386" s="48">
        <f>IF(A386="","",COUNTIFS(上课记录!$B:$B,A386,上课记录!$J:$J,"是"))</f>
        <v/>
      </c>
      <c r="O386" s="31">
        <f>IF(A386="","",IF(F386="次卡",MAX(0,M386-N386),"—"))</f>
        <v/>
      </c>
      <c r="P386" s="31">
        <f>IF(A386="","",IF(F386="期限卡",MAX(0,I386-TODAY()),"—"))</f>
        <v/>
      </c>
      <c r="Q386" s="31">
        <f>IF(A386="","",IF(F386="次卡",IF(OR(K386="",K386=0,M386=0),"",K386/M386),IF(F386="期限卡",IF(AND(K386&lt;&gt;"",K386&lt;&gt;0,I386&gt;H386),K386/(I386-H386),""),"")))</f>
        <v/>
      </c>
      <c r="R386" s="31">
        <f>IF(A386="","",IF(F386="次卡",IF(OR(K386="",K386=0,M386=0),"",Q386*O386),IF(F386="期限卡",IF(AND(K386&lt;&gt;"",K386&lt;&gt;0,I386&gt;H386),Q386*P386,""),"")))</f>
        <v/>
      </c>
      <c r="S386" s="58">
        <f>IF(A386="","",IFERROR(_xlfn.MAXIFS(上课记录!$D:$D,上课记录!$B:$B,A386,上课记录!$J:$J,"是"),""))</f>
        <v/>
      </c>
      <c r="T386" s="31">
        <f>IF(A386="","",IF(S386="","",TODAY()-S386))</f>
        <v/>
      </c>
      <c r="U386" s="31">
        <f>IF(A386="","",IF(OR(AND(F386="次卡",O386=0),AND(F386="期限卡",P386=0)),"已到期",IF(T386&gt;=10,"沉睡客户",IF(T386&gt;=7,"预警客户","正常"))))</f>
        <v/>
      </c>
      <c r="V386" s="11" t="n"/>
      <c r="W386" s="11" t="n"/>
    </row>
    <row r="387">
      <c r="A387" s="44" t="n"/>
      <c r="B387" s="11" t="n"/>
      <c r="C387" s="11" t="n"/>
      <c r="D387" s="11" t="n"/>
      <c r="E387" s="11" t="n"/>
      <c r="F387" s="11" t="n"/>
      <c r="G387" s="55" t="n"/>
      <c r="H387" s="55" t="n"/>
      <c r="I387" s="55" t="n"/>
      <c r="J387" s="11" t="n"/>
      <c r="K387" s="56" t="n"/>
      <c r="L387" s="46">
        <f>K387-J387</f>
        <v/>
      </c>
      <c r="M387" s="47" t="n"/>
      <c r="N387" s="48">
        <f>IF(A387="","",COUNTIFS(上课记录!$B:$B,A387,上课记录!$J:$J,"是"))</f>
        <v/>
      </c>
      <c r="O387" s="31">
        <f>IF(A387="","",IF(F387="次卡",MAX(0,M387-N387),"—"))</f>
        <v/>
      </c>
      <c r="P387" s="31">
        <f>IF(A387="","",IF(F387="期限卡",MAX(0,I387-TODAY()),"—"))</f>
        <v/>
      </c>
      <c r="Q387" s="31">
        <f>IF(A387="","",IF(F387="次卡",IF(OR(K387="",K387=0,M387=0),"",K387/M387),IF(F387="期限卡",IF(AND(K387&lt;&gt;"",K387&lt;&gt;0,I387&gt;H387),K387/(I387-H387),""),"")))</f>
        <v/>
      </c>
      <c r="R387" s="31">
        <f>IF(A387="","",IF(F387="次卡",IF(OR(K387="",K387=0,M387=0),"",Q387*O387),IF(F387="期限卡",IF(AND(K387&lt;&gt;"",K387&lt;&gt;0,I387&gt;H387),Q387*P387,""),"")))</f>
        <v/>
      </c>
      <c r="S387" s="58">
        <f>IF(A387="","",IFERROR(_xlfn.MAXIFS(上课记录!$D:$D,上课记录!$B:$B,A387,上课记录!$J:$J,"是"),""))</f>
        <v/>
      </c>
      <c r="T387" s="31">
        <f>IF(A387="","",IF(S387="","",TODAY()-S387))</f>
        <v/>
      </c>
      <c r="U387" s="31">
        <f>IF(A387="","",IF(OR(AND(F387="次卡",O387=0),AND(F387="期限卡",P387=0)),"已到期",IF(T387&gt;=10,"沉睡客户",IF(T387&gt;=7,"预警客户","正常"))))</f>
        <v/>
      </c>
      <c r="V387" s="11" t="n"/>
      <c r="W387" s="11" t="n"/>
    </row>
    <row r="388">
      <c r="A388" s="44" t="n"/>
      <c r="B388" s="11" t="n"/>
      <c r="C388" s="11" t="n"/>
      <c r="D388" s="11" t="n"/>
      <c r="E388" s="11" t="n"/>
      <c r="F388" s="11" t="n"/>
      <c r="G388" s="55" t="n"/>
      <c r="H388" s="55" t="n"/>
      <c r="I388" s="55" t="n"/>
      <c r="J388" s="11" t="n"/>
      <c r="K388" s="56" t="n"/>
      <c r="L388" s="46">
        <f>K388-J388</f>
        <v/>
      </c>
      <c r="M388" s="47" t="n"/>
      <c r="N388" s="48">
        <f>IF(A388="","",COUNTIFS(上课记录!$B:$B,A388,上课记录!$J:$J,"是"))</f>
        <v/>
      </c>
      <c r="O388" s="31">
        <f>IF(A388="","",IF(F388="次卡",MAX(0,M388-N388),"—"))</f>
        <v/>
      </c>
      <c r="P388" s="31">
        <f>IF(A388="","",IF(F388="期限卡",MAX(0,I388-TODAY()),"—"))</f>
        <v/>
      </c>
      <c r="Q388" s="31">
        <f>IF(A388="","",IF(F388="次卡",IF(OR(K388="",K388=0,M388=0),"",K388/M388),IF(F388="期限卡",IF(AND(K388&lt;&gt;"",K388&lt;&gt;0,I388&gt;H388),K388/(I388-H388),""),"")))</f>
        <v/>
      </c>
      <c r="R388" s="31">
        <f>IF(A388="","",IF(F388="次卡",IF(OR(K388="",K388=0,M388=0),"",Q388*O388),IF(F388="期限卡",IF(AND(K388&lt;&gt;"",K388&lt;&gt;0,I388&gt;H388),Q388*P388,""),"")))</f>
        <v/>
      </c>
      <c r="S388" s="58">
        <f>IF(A388="","",IFERROR(_xlfn.MAXIFS(上课记录!$D:$D,上课记录!$B:$B,A388,上课记录!$J:$J,"是"),""))</f>
        <v/>
      </c>
      <c r="T388" s="31">
        <f>IF(A388="","",IF(S388="","",TODAY()-S388))</f>
        <v/>
      </c>
      <c r="U388" s="31">
        <f>IF(A388="","",IF(OR(AND(F388="次卡",O388=0),AND(F388="期限卡",P388=0)),"已到期",IF(T388&gt;=10,"沉睡客户",IF(T388&gt;=7,"预警客户","正常"))))</f>
        <v/>
      </c>
      <c r="V388" s="11" t="n"/>
      <c r="W388" s="11" t="n"/>
    </row>
    <row r="389">
      <c r="A389" s="44" t="n"/>
      <c r="B389" s="11" t="n"/>
      <c r="C389" s="11" t="n"/>
      <c r="D389" s="11" t="n"/>
      <c r="E389" s="11" t="n"/>
      <c r="F389" s="11" t="n"/>
      <c r="G389" s="55" t="n"/>
      <c r="H389" s="55" t="n"/>
      <c r="I389" s="55" t="n"/>
      <c r="J389" s="11" t="n"/>
      <c r="K389" s="56" t="n"/>
      <c r="L389" s="46">
        <f>K389-J389</f>
        <v/>
      </c>
      <c r="M389" s="47" t="n"/>
      <c r="N389" s="48">
        <f>IF(A389="","",COUNTIFS(上课记录!$B:$B,A389,上课记录!$J:$J,"是"))</f>
        <v/>
      </c>
      <c r="O389" s="31">
        <f>IF(A389="","",IF(F389="次卡",MAX(0,M389-N389),"—"))</f>
        <v/>
      </c>
      <c r="P389" s="31">
        <f>IF(A389="","",IF(F389="期限卡",MAX(0,I389-TODAY()),"—"))</f>
        <v/>
      </c>
      <c r="Q389" s="31">
        <f>IF(A389="","",IF(F389="次卡",IF(OR(K389="",K389=0,M389=0),"",K389/M389),IF(F389="期限卡",IF(AND(K389&lt;&gt;"",K389&lt;&gt;0,I389&gt;H389),K389/(I389-H389),""),"")))</f>
        <v/>
      </c>
      <c r="R389" s="31">
        <f>IF(A389="","",IF(F389="次卡",IF(OR(K389="",K389=0,M389=0),"",Q389*O389),IF(F389="期限卡",IF(AND(K389&lt;&gt;"",K389&lt;&gt;0,I389&gt;H389),Q389*P389,""),"")))</f>
        <v/>
      </c>
      <c r="S389" s="58">
        <f>IF(A389="","",IFERROR(_xlfn.MAXIFS(上课记录!$D:$D,上课记录!$B:$B,A389,上课记录!$J:$J,"是"),""))</f>
        <v/>
      </c>
      <c r="T389" s="31">
        <f>IF(A389="","",IF(S389="","",TODAY()-S389))</f>
        <v/>
      </c>
      <c r="U389" s="31">
        <f>IF(A389="","",IF(OR(AND(F389="次卡",O389=0),AND(F389="期限卡",P389=0)),"已到期",IF(T389&gt;=10,"沉睡客户",IF(T389&gt;=7,"预警客户","正常"))))</f>
        <v/>
      </c>
      <c r="V389" s="11" t="n"/>
      <c r="W389" s="11" t="n"/>
    </row>
    <row r="390">
      <c r="A390" s="44" t="n"/>
      <c r="B390" s="11" t="n"/>
      <c r="C390" s="11" t="n"/>
      <c r="D390" s="11" t="n"/>
      <c r="E390" s="11" t="n"/>
      <c r="F390" s="11" t="n"/>
      <c r="G390" s="55" t="n"/>
      <c r="H390" s="55" t="n"/>
      <c r="I390" s="55" t="n"/>
      <c r="J390" s="11" t="n"/>
      <c r="K390" s="56" t="n"/>
      <c r="L390" s="46">
        <f>K390-J390</f>
        <v/>
      </c>
      <c r="M390" s="47" t="n"/>
      <c r="N390" s="48">
        <f>IF(A390="","",COUNTIFS(上课记录!$B:$B,A390,上课记录!$J:$J,"是"))</f>
        <v/>
      </c>
      <c r="O390" s="31">
        <f>IF(A390="","",IF(F390="次卡",MAX(0,M390-N390),"—"))</f>
        <v/>
      </c>
      <c r="P390" s="31">
        <f>IF(A390="","",IF(F390="期限卡",MAX(0,I390-TODAY()),"—"))</f>
        <v/>
      </c>
      <c r="Q390" s="31">
        <f>IF(A390="","",IF(F390="次卡",IF(OR(K390="",K390=0,M390=0),"",K390/M390),IF(F390="期限卡",IF(AND(K390&lt;&gt;"",K390&lt;&gt;0,I390&gt;H390),K390/(I390-H390),""),"")))</f>
        <v/>
      </c>
      <c r="R390" s="31">
        <f>IF(A390="","",IF(F390="次卡",IF(OR(K390="",K390=0,M390=0),"",Q390*O390),IF(F390="期限卡",IF(AND(K390&lt;&gt;"",K390&lt;&gt;0,I390&gt;H390),Q390*P390,""),"")))</f>
        <v/>
      </c>
      <c r="S390" s="58">
        <f>IF(A390="","",IFERROR(_xlfn.MAXIFS(上课记录!$D:$D,上课记录!$B:$B,A390,上课记录!$J:$J,"是"),""))</f>
        <v/>
      </c>
      <c r="T390" s="31">
        <f>IF(A390="","",IF(S390="","",TODAY()-S390))</f>
        <v/>
      </c>
      <c r="U390" s="31">
        <f>IF(A390="","",IF(OR(AND(F390="次卡",O390=0),AND(F390="期限卡",P390=0)),"已到期",IF(T390&gt;=10,"沉睡客户",IF(T390&gt;=7,"预警客户","正常"))))</f>
        <v/>
      </c>
      <c r="V390" s="11" t="n"/>
      <c r="W390" s="11" t="n"/>
    </row>
    <row r="391">
      <c r="A391" s="44" t="n"/>
      <c r="B391" s="11" t="n"/>
      <c r="C391" s="11" t="n"/>
      <c r="D391" s="11" t="n"/>
      <c r="E391" s="11" t="n"/>
      <c r="F391" s="11" t="n"/>
      <c r="G391" s="55" t="n"/>
      <c r="H391" s="55" t="n"/>
      <c r="I391" s="55" t="n"/>
      <c r="J391" s="11" t="n"/>
      <c r="K391" s="56" t="n"/>
      <c r="L391" s="46">
        <f>K391-J391</f>
        <v/>
      </c>
      <c r="M391" s="47" t="n"/>
      <c r="N391" s="48">
        <f>IF(A391="","",COUNTIFS(上课记录!$B:$B,A391,上课记录!$J:$J,"是"))</f>
        <v/>
      </c>
      <c r="O391" s="31">
        <f>IF(A391="","",IF(F391="次卡",MAX(0,M391-N391),"—"))</f>
        <v/>
      </c>
      <c r="P391" s="31">
        <f>IF(A391="","",IF(F391="期限卡",MAX(0,I391-TODAY()),"—"))</f>
        <v/>
      </c>
      <c r="Q391" s="31">
        <f>IF(A391="","",IF(F391="次卡",IF(OR(K391="",K391=0,M391=0),"",K391/M391),IF(F391="期限卡",IF(AND(K391&lt;&gt;"",K391&lt;&gt;0,I391&gt;H391),K391/(I391-H391),""),"")))</f>
        <v/>
      </c>
      <c r="R391" s="31">
        <f>IF(A391="","",IF(F391="次卡",IF(OR(K391="",K391=0,M391=0),"",Q391*O391),IF(F391="期限卡",IF(AND(K391&lt;&gt;"",K391&lt;&gt;0,I391&gt;H391),Q391*P391,""),"")))</f>
        <v/>
      </c>
      <c r="S391" s="58">
        <f>IF(A391="","",IFERROR(_xlfn.MAXIFS(上课记录!$D:$D,上课记录!$B:$B,A391,上课记录!$J:$J,"是"),""))</f>
        <v/>
      </c>
      <c r="T391" s="31">
        <f>IF(A391="","",IF(S391="","",TODAY()-S391))</f>
        <v/>
      </c>
      <c r="U391" s="31">
        <f>IF(A391="","",IF(OR(AND(F391="次卡",O391=0),AND(F391="期限卡",P391=0)),"已到期",IF(T391&gt;=10,"沉睡客户",IF(T391&gt;=7,"预警客户","正常"))))</f>
        <v/>
      </c>
      <c r="V391" s="11" t="n"/>
      <c r="W391" s="11" t="n"/>
    </row>
    <row r="392">
      <c r="A392" s="44" t="n"/>
      <c r="B392" s="11" t="n"/>
      <c r="C392" s="11" t="n"/>
      <c r="D392" s="11" t="n"/>
      <c r="E392" s="11" t="n"/>
      <c r="F392" s="11" t="n"/>
      <c r="G392" s="55" t="n"/>
      <c r="H392" s="55" t="n"/>
      <c r="I392" s="55" t="n"/>
      <c r="J392" s="11" t="n"/>
      <c r="K392" s="56" t="n"/>
      <c r="L392" s="46">
        <f>K392-J392</f>
        <v/>
      </c>
      <c r="M392" s="47" t="n"/>
      <c r="N392" s="48">
        <f>IF(A392="","",COUNTIFS(上课记录!$B:$B,A392,上课记录!$J:$J,"是"))</f>
        <v/>
      </c>
      <c r="O392" s="31">
        <f>IF(A392="","",IF(F392="次卡",MAX(0,M392-N392),"—"))</f>
        <v/>
      </c>
      <c r="P392" s="31">
        <f>IF(A392="","",IF(F392="期限卡",MAX(0,I392-TODAY()),"—"))</f>
        <v/>
      </c>
      <c r="Q392" s="31">
        <f>IF(A392="","",IF(F392="次卡",IF(OR(K392="",K392=0,M392=0),"",K392/M392),IF(F392="期限卡",IF(AND(K392&lt;&gt;"",K392&lt;&gt;0,I392&gt;H392),K392/(I392-H392),""),"")))</f>
        <v/>
      </c>
      <c r="R392" s="31">
        <f>IF(A392="","",IF(F392="次卡",IF(OR(K392="",K392=0,M392=0),"",Q392*O392),IF(F392="期限卡",IF(AND(K392&lt;&gt;"",K392&lt;&gt;0,I392&gt;H392),Q392*P392,""),"")))</f>
        <v/>
      </c>
      <c r="S392" s="58">
        <f>IF(A392="","",IFERROR(_xlfn.MAXIFS(上课记录!$D:$D,上课记录!$B:$B,A392,上课记录!$J:$J,"是"),""))</f>
        <v/>
      </c>
      <c r="T392" s="31">
        <f>IF(A392="","",IF(S392="","",TODAY()-S392))</f>
        <v/>
      </c>
      <c r="U392" s="31">
        <f>IF(A392="","",IF(OR(AND(F392="次卡",O392=0),AND(F392="期限卡",P392=0)),"已到期",IF(T392&gt;=10,"沉睡客户",IF(T392&gt;=7,"预警客户","正常"))))</f>
        <v/>
      </c>
      <c r="V392" s="11" t="n"/>
      <c r="W392" s="11" t="n"/>
    </row>
    <row r="393">
      <c r="A393" s="44" t="n"/>
      <c r="B393" s="11" t="n"/>
      <c r="C393" s="11" t="n"/>
      <c r="D393" s="11" t="n"/>
      <c r="E393" s="11" t="n"/>
      <c r="F393" s="11" t="n"/>
      <c r="G393" s="55" t="n"/>
      <c r="H393" s="55" t="n"/>
      <c r="I393" s="55" t="n"/>
      <c r="J393" s="11" t="n"/>
      <c r="K393" s="56" t="n"/>
      <c r="L393" s="46">
        <f>K393-J393</f>
        <v/>
      </c>
      <c r="M393" s="47" t="n"/>
      <c r="N393" s="48">
        <f>IF(A393="","",COUNTIFS(上课记录!$B:$B,A393,上课记录!$J:$J,"是"))</f>
        <v/>
      </c>
      <c r="O393" s="31">
        <f>IF(A393="","",IF(F393="次卡",MAX(0,M393-N393),"—"))</f>
        <v/>
      </c>
      <c r="P393" s="31">
        <f>IF(A393="","",IF(F393="期限卡",MAX(0,I393-TODAY()),"—"))</f>
        <v/>
      </c>
      <c r="Q393" s="31">
        <f>IF(A393="","",IF(F393="次卡",IF(OR(K393="",K393=0,M393=0),"",K393/M393),IF(F393="期限卡",IF(AND(K393&lt;&gt;"",K393&lt;&gt;0,I393&gt;H393),K393/(I393-H393),""),"")))</f>
        <v/>
      </c>
      <c r="R393" s="31">
        <f>IF(A393="","",IF(F393="次卡",IF(OR(K393="",K393=0,M393=0),"",Q393*O393),IF(F393="期限卡",IF(AND(K393&lt;&gt;"",K393&lt;&gt;0,I393&gt;H393),Q393*P393,""),"")))</f>
        <v/>
      </c>
      <c r="S393" s="58">
        <f>IF(A393="","",IFERROR(_xlfn.MAXIFS(上课记录!$D:$D,上课记录!$B:$B,A393,上课记录!$J:$J,"是"),""))</f>
        <v/>
      </c>
      <c r="T393" s="31">
        <f>IF(A393="","",IF(S393="","",TODAY()-S393))</f>
        <v/>
      </c>
      <c r="U393" s="31">
        <f>IF(A393="","",IF(OR(AND(F393="次卡",O393=0),AND(F393="期限卡",P393=0)),"已到期",IF(T393&gt;=10,"沉睡客户",IF(T393&gt;=7,"预警客户","正常"))))</f>
        <v/>
      </c>
      <c r="V393" s="11" t="n"/>
      <c r="W393" s="11" t="n"/>
    </row>
    <row r="394">
      <c r="A394" s="44" t="n"/>
      <c r="B394" s="11" t="n"/>
      <c r="C394" s="11" t="n"/>
      <c r="D394" s="11" t="n"/>
      <c r="E394" s="11" t="n"/>
      <c r="F394" s="11" t="n"/>
      <c r="G394" s="55" t="n"/>
      <c r="H394" s="55" t="n"/>
      <c r="I394" s="55" t="n"/>
      <c r="J394" s="11" t="n"/>
      <c r="K394" s="56" t="n"/>
      <c r="L394" s="46">
        <f>K394-J394</f>
        <v/>
      </c>
      <c r="M394" s="47" t="n"/>
      <c r="N394" s="48">
        <f>IF(A394="","",COUNTIFS(上课记录!$B:$B,A394,上课记录!$J:$J,"是"))</f>
        <v/>
      </c>
      <c r="O394" s="31">
        <f>IF(A394="","",IF(F394="次卡",MAX(0,M394-N394),"—"))</f>
        <v/>
      </c>
      <c r="P394" s="31">
        <f>IF(A394="","",IF(F394="期限卡",MAX(0,I394-TODAY()),"—"))</f>
        <v/>
      </c>
      <c r="Q394" s="31">
        <f>IF(A394="","",IF(F394="次卡",IF(OR(K394="",K394=0,M394=0),"",K394/M394),IF(F394="期限卡",IF(AND(K394&lt;&gt;"",K394&lt;&gt;0,I394&gt;H394),K394/(I394-H394),""),"")))</f>
        <v/>
      </c>
      <c r="R394" s="31">
        <f>IF(A394="","",IF(F394="次卡",IF(OR(K394="",K394=0,M394=0),"",Q394*O394),IF(F394="期限卡",IF(AND(K394&lt;&gt;"",K394&lt;&gt;0,I394&gt;H394),Q394*P394,""),"")))</f>
        <v/>
      </c>
      <c r="S394" s="58">
        <f>IF(A394="","",IFERROR(_xlfn.MAXIFS(上课记录!$D:$D,上课记录!$B:$B,A394,上课记录!$J:$J,"是"),""))</f>
        <v/>
      </c>
      <c r="T394" s="31">
        <f>IF(A394="","",IF(S394="","",TODAY()-S394))</f>
        <v/>
      </c>
      <c r="U394" s="31">
        <f>IF(A394="","",IF(OR(AND(F394="次卡",O394=0),AND(F394="期限卡",P394=0)),"已到期",IF(T394&gt;=10,"沉睡客户",IF(T394&gt;=7,"预警客户","正常"))))</f>
        <v/>
      </c>
      <c r="V394" s="11" t="n"/>
      <c r="W394" s="11" t="n"/>
    </row>
    <row r="395">
      <c r="A395" s="44" t="n"/>
      <c r="B395" s="11" t="n"/>
      <c r="C395" s="11" t="n"/>
      <c r="D395" s="11" t="n"/>
      <c r="E395" s="11" t="n"/>
      <c r="F395" s="11" t="n"/>
      <c r="G395" s="55" t="n"/>
      <c r="H395" s="55" t="n"/>
      <c r="I395" s="55" t="n"/>
      <c r="J395" s="11" t="n"/>
      <c r="K395" s="56" t="n"/>
      <c r="L395" s="46">
        <f>K395-J395</f>
        <v/>
      </c>
      <c r="M395" s="47" t="n"/>
      <c r="N395" s="48">
        <f>IF(A395="","",COUNTIFS(上课记录!$B:$B,A395,上课记录!$J:$J,"是"))</f>
        <v/>
      </c>
      <c r="O395" s="31">
        <f>IF(A395="","",IF(F395="次卡",MAX(0,M395-N395),"—"))</f>
        <v/>
      </c>
      <c r="P395" s="31">
        <f>IF(A395="","",IF(F395="期限卡",MAX(0,I395-TODAY()),"—"))</f>
        <v/>
      </c>
      <c r="Q395" s="31">
        <f>IF(A395="","",IF(F395="次卡",IF(OR(K395="",K395=0,M395=0),"",K395/M395),IF(F395="期限卡",IF(AND(K395&lt;&gt;"",K395&lt;&gt;0,I395&gt;H395),K395/(I395-H395),""),"")))</f>
        <v/>
      </c>
      <c r="R395" s="31">
        <f>IF(A395="","",IF(F395="次卡",IF(OR(K395="",K395=0,M395=0),"",Q395*O395),IF(F395="期限卡",IF(AND(K395&lt;&gt;"",K395&lt;&gt;0,I395&gt;H395),Q395*P395,""),"")))</f>
        <v/>
      </c>
      <c r="S395" s="58">
        <f>IF(A395="","",IFERROR(_xlfn.MAXIFS(上课记录!$D:$D,上课记录!$B:$B,A395,上课记录!$J:$J,"是"),""))</f>
        <v/>
      </c>
      <c r="T395" s="31">
        <f>IF(A395="","",IF(S395="","",TODAY()-S395))</f>
        <v/>
      </c>
      <c r="U395" s="31">
        <f>IF(A395="","",IF(OR(AND(F395="次卡",O395=0),AND(F395="期限卡",P395=0)),"已到期",IF(T395&gt;=10,"沉睡客户",IF(T395&gt;=7,"预警客户","正常"))))</f>
        <v/>
      </c>
      <c r="V395" s="11" t="n"/>
      <c r="W395" s="11" t="n"/>
    </row>
    <row r="396">
      <c r="A396" s="44" t="n"/>
      <c r="B396" s="11" t="n"/>
      <c r="C396" s="11" t="n"/>
      <c r="D396" s="11" t="n"/>
      <c r="E396" s="11" t="n"/>
      <c r="F396" s="11" t="n"/>
      <c r="G396" s="55" t="n"/>
      <c r="H396" s="55" t="n"/>
      <c r="I396" s="55" t="n"/>
      <c r="J396" s="11" t="n"/>
      <c r="K396" s="56" t="n"/>
      <c r="L396" s="46">
        <f>K396-J396</f>
        <v/>
      </c>
      <c r="M396" s="47" t="n"/>
      <c r="N396" s="48">
        <f>IF(A396="","",COUNTIFS(上课记录!$B:$B,A396,上课记录!$J:$J,"是"))</f>
        <v/>
      </c>
      <c r="O396" s="31">
        <f>IF(A396="","",IF(F396="次卡",MAX(0,M396-N396),"—"))</f>
        <v/>
      </c>
      <c r="P396" s="31">
        <f>IF(A396="","",IF(F396="期限卡",MAX(0,I396-TODAY()),"—"))</f>
        <v/>
      </c>
      <c r="Q396" s="31">
        <f>IF(A396="","",IF(F396="次卡",IF(OR(K396="",K396=0,M396=0),"",K396/M396),IF(F396="期限卡",IF(AND(K396&lt;&gt;"",K396&lt;&gt;0,I396&gt;H396),K396/(I396-H396),""),"")))</f>
        <v/>
      </c>
      <c r="R396" s="31">
        <f>IF(A396="","",IF(F396="次卡",IF(OR(K396="",K396=0,M396=0),"",Q396*O396),IF(F396="期限卡",IF(AND(K396&lt;&gt;"",K396&lt;&gt;0,I396&gt;H396),Q396*P396,""),"")))</f>
        <v/>
      </c>
      <c r="S396" s="58">
        <f>IF(A396="","",IFERROR(_xlfn.MAXIFS(上课记录!$D:$D,上课记录!$B:$B,A396,上课记录!$J:$J,"是"),""))</f>
        <v/>
      </c>
      <c r="T396" s="31">
        <f>IF(A396="","",IF(S396="","",TODAY()-S396))</f>
        <v/>
      </c>
      <c r="U396" s="31">
        <f>IF(A396="","",IF(OR(AND(F396="次卡",O396=0),AND(F396="期限卡",P396=0)),"已到期",IF(T396&gt;=10,"沉睡客户",IF(T396&gt;=7,"预警客户","正常"))))</f>
        <v/>
      </c>
      <c r="V396" s="11" t="n"/>
      <c r="W396" s="11" t="n"/>
    </row>
    <row r="397">
      <c r="A397" s="44" t="n"/>
      <c r="B397" s="11" t="n"/>
      <c r="C397" s="11" t="n"/>
      <c r="D397" s="11" t="n"/>
      <c r="E397" s="11" t="n"/>
      <c r="F397" s="11" t="n"/>
      <c r="G397" s="55" t="n"/>
      <c r="H397" s="55" t="n"/>
      <c r="I397" s="55" t="n"/>
      <c r="J397" s="11" t="n"/>
      <c r="K397" s="56" t="n"/>
      <c r="L397" s="46">
        <f>K397-J397</f>
        <v/>
      </c>
      <c r="M397" s="47" t="n"/>
      <c r="N397" s="48">
        <f>IF(A397="","",COUNTIFS(上课记录!$B:$B,A397,上课记录!$J:$J,"是"))</f>
        <v/>
      </c>
      <c r="O397" s="31">
        <f>IF(A397="","",IF(F397="次卡",MAX(0,M397-N397),"—"))</f>
        <v/>
      </c>
      <c r="P397" s="31">
        <f>IF(A397="","",IF(F397="期限卡",MAX(0,I397-TODAY()),"—"))</f>
        <v/>
      </c>
      <c r="Q397" s="31">
        <f>IF(A397="","",IF(F397="次卡",IF(OR(K397="",K397=0,M397=0),"",K397/M397),IF(F397="期限卡",IF(AND(K397&lt;&gt;"",K397&lt;&gt;0,I397&gt;H397),K397/(I397-H397),""),"")))</f>
        <v/>
      </c>
      <c r="R397" s="31">
        <f>IF(A397="","",IF(F397="次卡",IF(OR(K397="",K397=0,M397=0),"",Q397*O397),IF(F397="期限卡",IF(AND(K397&lt;&gt;"",K397&lt;&gt;0,I397&gt;H397),Q397*P397,""),"")))</f>
        <v/>
      </c>
      <c r="S397" s="58">
        <f>IF(A397="","",IFERROR(_xlfn.MAXIFS(上课记录!$D:$D,上课记录!$B:$B,A397,上课记录!$J:$J,"是"),""))</f>
        <v/>
      </c>
      <c r="T397" s="31">
        <f>IF(A397="","",IF(S397="","",TODAY()-S397))</f>
        <v/>
      </c>
      <c r="U397" s="31">
        <f>IF(A397="","",IF(OR(AND(F397="次卡",O397=0),AND(F397="期限卡",P397=0)),"已到期",IF(T397&gt;=10,"沉睡客户",IF(T397&gt;=7,"预警客户","正常"))))</f>
        <v/>
      </c>
      <c r="V397" s="11" t="n"/>
      <c r="W397" s="11" t="n"/>
    </row>
    <row r="398">
      <c r="A398" s="44" t="n"/>
      <c r="B398" s="11" t="n"/>
      <c r="C398" s="11" t="n"/>
      <c r="D398" s="11" t="n"/>
      <c r="E398" s="11" t="n"/>
      <c r="F398" s="11" t="n"/>
      <c r="G398" s="55" t="n"/>
      <c r="H398" s="55" t="n"/>
      <c r="I398" s="55" t="n"/>
      <c r="J398" s="11" t="n"/>
      <c r="K398" s="56" t="n"/>
      <c r="L398" s="46">
        <f>K398-J398</f>
        <v/>
      </c>
      <c r="M398" s="47" t="n"/>
      <c r="N398" s="48">
        <f>IF(A398="","",COUNTIFS(上课记录!$B:$B,A398,上课记录!$J:$J,"是"))</f>
        <v/>
      </c>
      <c r="O398" s="31">
        <f>IF(A398="","",IF(F398="次卡",MAX(0,M398-N398),"—"))</f>
        <v/>
      </c>
      <c r="P398" s="31">
        <f>IF(A398="","",IF(F398="期限卡",MAX(0,I398-TODAY()),"—"))</f>
        <v/>
      </c>
      <c r="Q398" s="31">
        <f>IF(A398="","",IF(F398="次卡",IF(OR(K398="",K398=0,M398=0),"",K398/M398),IF(F398="期限卡",IF(AND(K398&lt;&gt;"",K398&lt;&gt;0,I398&gt;H398),K398/(I398-H398),""),"")))</f>
        <v/>
      </c>
      <c r="R398" s="31">
        <f>IF(A398="","",IF(F398="次卡",IF(OR(K398="",K398=0,M398=0),"",Q398*O398),IF(F398="期限卡",IF(AND(K398&lt;&gt;"",K398&lt;&gt;0,I398&gt;H398),Q398*P398,""),"")))</f>
        <v/>
      </c>
      <c r="S398" s="58">
        <f>IF(A398="","",IFERROR(_xlfn.MAXIFS(上课记录!$D:$D,上课记录!$B:$B,A398,上课记录!$J:$J,"是"),""))</f>
        <v/>
      </c>
      <c r="T398" s="31">
        <f>IF(A398="","",IF(S398="","",TODAY()-S398))</f>
        <v/>
      </c>
      <c r="U398" s="31">
        <f>IF(A398="","",IF(OR(AND(F398="次卡",O398=0),AND(F398="期限卡",P398=0)),"已到期",IF(T398&gt;=10,"沉睡客户",IF(T398&gt;=7,"预警客户","正常"))))</f>
        <v/>
      </c>
      <c r="V398" s="11" t="n"/>
      <c r="W398" s="11" t="n"/>
    </row>
    <row r="399">
      <c r="A399" s="44" t="n"/>
      <c r="B399" s="11" t="n"/>
      <c r="C399" s="11" t="n"/>
      <c r="D399" s="11" t="n"/>
      <c r="E399" s="11" t="n"/>
      <c r="F399" s="11" t="n"/>
      <c r="G399" s="55" t="n"/>
      <c r="H399" s="55" t="n"/>
      <c r="I399" s="55" t="n"/>
      <c r="J399" s="11" t="n"/>
      <c r="K399" s="56" t="n"/>
      <c r="L399" s="46">
        <f>K399-J399</f>
        <v/>
      </c>
      <c r="M399" s="47" t="n"/>
      <c r="N399" s="48">
        <f>IF(A399="","",COUNTIFS(上课记录!$B:$B,A399,上课记录!$J:$J,"是"))</f>
        <v/>
      </c>
      <c r="O399" s="31">
        <f>IF(A399="","",IF(F399="次卡",MAX(0,M399-N399),"—"))</f>
        <v/>
      </c>
      <c r="P399" s="31">
        <f>IF(A399="","",IF(F399="期限卡",MAX(0,I399-TODAY()),"—"))</f>
        <v/>
      </c>
      <c r="Q399" s="31">
        <f>IF(A399="","",IF(F399="次卡",IF(OR(K399="",K399=0,M399=0),"",K399/M399),IF(F399="期限卡",IF(AND(K399&lt;&gt;"",K399&lt;&gt;0,I399&gt;H399),K399/(I399-H399),""),"")))</f>
        <v/>
      </c>
      <c r="R399" s="31">
        <f>IF(A399="","",IF(F399="次卡",IF(OR(K399="",K399=0,M399=0),"",Q399*O399),IF(F399="期限卡",IF(AND(K399&lt;&gt;"",K399&lt;&gt;0,I399&gt;H399),Q399*P399,""),"")))</f>
        <v/>
      </c>
      <c r="S399" s="58">
        <f>IF(A399="","",IFERROR(_xlfn.MAXIFS(上课记录!$D:$D,上课记录!$B:$B,A399,上课记录!$J:$J,"是"),""))</f>
        <v/>
      </c>
      <c r="T399" s="31">
        <f>IF(A399="","",IF(S399="","",TODAY()-S399))</f>
        <v/>
      </c>
      <c r="U399" s="31">
        <f>IF(A399="","",IF(OR(AND(F399="次卡",O399=0),AND(F399="期限卡",P399=0)),"已到期",IF(T399&gt;=10,"沉睡客户",IF(T399&gt;=7,"预警客户","正常"))))</f>
        <v/>
      </c>
      <c r="V399" s="11" t="n"/>
      <c r="W399" s="11" t="n"/>
    </row>
    <row r="400">
      <c r="A400" s="44" t="n"/>
      <c r="B400" s="11" t="n"/>
      <c r="C400" s="11" t="n"/>
      <c r="D400" s="11" t="n"/>
      <c r="E400" s="11" t="n"/>
      <c r="F400" s="11" t="n"/>
      <c r="G400" s="55" t="n"/>
      <c r="H400" s="55" t="n"/>
      <c r="I400" s="55" t="n"/>
      <c r="J400" s="11" t="n"/>
      <c r="K400" s="56" t="n"/>
      <c r="L400" s="46">
        <f>K400-J400</f>
        <v/>
      </c>
      <c r="M400" s="47" t="n"/>
      <c r="N400" s="48">
        <f>IF(A400="","",COUNTIFS(上课记录!$B:$B,A400,上课记录!$J:$J,"是"))</f>
        <v/>
      </c>
      <c r="O400" s="31">
        <f>IF(A400="","",IF(F400="次卡",MAX(0,M400-N400),"—"))</f>
        <v/>
      </c>
      <c r="P400" s="31">
        <f>IF(A400="","",IF(F400="期限卡",MAX(0,I400-TODAY()),"—"))</f>
        <v/>
      </c>
      <c r="Q400" s="31">
        <f>IF(A400="","",IF(F400="次卡",IF(OR(K400="",K400=0,M400=0),"",K400/M400),IF(F400="期限卡",IF(AND(K400&lt;&gt;"",K400&lt;&gt;0,I400&gt;H400),K400/(I400-H400),""),"")))</f>
        <v/>
      </c>
      <c r="R400" s="31">
        <f>IF(A400="","",IF(F400="次卡",IF(OR(K400="",K400=0,M400=0),"",Q400*O400),IF(F400="期限卡",IF(AND(K400&lt;&gt;"",K400&lt;&gt;0,I400&gt;H400),Q400*P400,""),"")))</f>
        <v/>
      </c>
      <c r="S400" s="58">
        <f>IF(A400="","",IFERROR(_xlfn.MAXIFS(上课记录!$D:$D,上课记录!$B:$B,A400,上课记录!$J:$J,"是"),""))</f>
        <v/>
      </c>
      <c r="T400" s="31">
        <f>IF(A400="","",IF(S400="","",TODAY()-S400))</f>
        <v/>
      </c>
      <c r="U400" s="31">
        <f>IF(A400="","",IF(OR(AND(F400="次卡",O400=0),AND(F400="期限卡",P400=0)),"已到期",IF(T400&gt;=10,"沉睡客户",IF(T400&gt;=7,"预警客户","正常"))))</f>
        <v/>
      </c>
      <c r="V400" s="11" t="n"/>
      <c r="W400" s="11" t="n"/>
    </row>
    <row r="401">
      <c r="A401" s="44" t="n"/>
      <c r="B401" s="11" t="n"/>
      <c r="C401" s="11" t="n"/>
      <c r="D401" s="11" t="n"/>
      <c r="E401" s="11" t="n"/>
      <c r="F401" s="11" t="n"/>
      <c r="G401" s="55" t="n"/>
      <c r="H401" s="55" t="n"/>
      <c r="I401" s="55" t="n"/>
      <c r="J401" s="11" t="n"/>
      <c r="K401" s="56" t="n"/>
      <c r="L401" s="46">
        <f>K401-J401</f>
        <v/>
      </c>
      <c r="M401" s="47" t="n"/>
      <c r="N401" s="48">
        <f>IF(A401="","",COUNTIFS(上课记录!$B:$B,A401,上课记录!$J:$J,"是"))</f>
        <v/>
      </c>
      <c r="O401" s="31">
        <f>IF(A401="","",IF(F401="次卡",MAX(0,M401-N401),"—"))</f>
        <v/>
      </c>
      <c r="P401" s="31">
        <f>IF(A401="","",IF(F401="期限卡",MAX(0,I401-TODAY()),"—"))</f>
        <v/>
      </c>
      <c r="Q401" s="31">
        <f>IF(A401="","",IF(F401="次卡",IF(OR(K401="",K401=0,M401=0),"",K401/M401),IF(F401="期限卡",IF(AND(K401&lt;&gt;"",K401&lt;&gt;0,I401&gt;H401),K401/(I401-H401),""),"")))</f>
        <v/>
      </c>
      <c r="R401" s="31">
        <f>IF(A401="","",IF(F401="次卡",IF(OR(K401="",K401=0,M401=0),"",Q401*O401),IF(F401="期限卡",IF(AND(K401&lt;&gt;"",K401&lt;&gt;0,I401&gt;H401),Q401*P401,""),"")))</f>
        <v/>
      </c>
      <c r="S401" s="58">
        <f>IF(A401="","",IFERROR(_xlfn.MAXIFS(上课记录!$D:$D,上课记录!$B:$B,A401,上课记录!$J:$J,"是"),""))</f>
        <v/>
      </c>
      <c r="T401" s="31">
        <f>IF(A401="","",IF(S401="","",TODAY()-S401))</f>
        <v/>
      </c>
      <c r="U401" s="31">
        <f>IF(A401="","",IF(OR(AND(F401="次卡",O401=0),AND(F401="期限卡",P401=0)),"已到期",IF(T401&gt;=10,"沉睡客户",IF(T401&gt;=7,"预警客户","正常"))))</f>
        <v/>
      </c>
      <c r="V401" s="11" t="n"/>
      <c r="W401" s="11" t="n"/>
    </row>
    <row r="402">
      <c r="A402" s="44" t="n"/>
      <c r="B402" s="11" t="n"/>
      <c r="C402" s="11" t="n"/>
      <c r="D402" s="11" t="n"/>
      <c r="E402" s="11" t="n"/>
      <c r="F402" s="11" t="n"/>
      <c r="G402" s="55" t="n"/>
      <c r="H402" s="55" t="n"/>
      <c r="I402" s="55" t="n"/>
      <c r="J402" s="11" t="n"/>
      <c r="K402" s="56" t="n"/>
      <c r="L402" s="46">
        <f>K402-J402</f>
        <v/>
      </c>
      <c r="M402" s="47" t="n"/>
      <c r="N402" s="48">
        <f>IF(A402="","",COUNTIFS(上课记录!$B:$B,A402,上课记录!$J:$J,"是"))</f>
        <v/>
      </c>
      <c r="O402" s="31">
        <f>IF(A402="","",IF(F402="次卡",MAX(0,M402-N402),"—"))</f>
        <v/>
      </c>
      <c r="P402" s="31">
        <f>IF(A402="","",IF(F402="期限卡",MAX(0,I402-TODAY()),"—"))</f>
        <v/>
      </c>
      <c r="Q402" s="31">
        <f>IF(A402="","",IF(F402="次卡",IF(OR(K402="",K402=0,M402=0),"",K402/M402),IF(F402="期限卡",IF(AND(K402&lt;&gt;"",K402&lt;&gt;0,I402&gt;H402),K402/(I402-H402),""),"")))</f>
        <v/>
      </c>
      <c r="R402" s="31">
        <f>IF(A402="","",IF(F402="次卡",IF(OR(K402="",K402=0,M402=0),"",Q402*O402),IF(F402="期限卡",IF(AND(K402&lt;&gt;"",K402&lt;&gt;0,I402&gt;H402),Q402*P402,""),"")))</f>
        <v/>
      </c>
      <c r="S402" s="58">
        <f>IF(A402="","",IFERROR(_xlfn.MAXIFS(上课记录!$D:$D,上课记录!$B:$B,A402,上课记录!$J:$J,"是"),""))</f>
        <v/>
      </c>
      <c r="T402" s="31">
        <f>IF(A402="","",IF(S402="","",TODAY()-S402))</f>
        <v/>
      </c>
      <c r="U402" s="31">
        <f>IF(A402="","",IF(OR(AND(F402="次卡",O402=0),AND(F402="期限卡",P402=0)),"已到期",IF(T402&gt;=10,"沉睡客户",IF(T402&gt;=7,"预警客户","正常"))))</f>
        <v/>
      </c>
      <c r="V402" s="11" t="n"/>
      <c r="W402" s="11" t="n"/>
    </row>
    <row r="403">
      <c r="A403" s="44" t="n"/>
      <c r="B403" s="11" t="n"/>
      <c r="C403" s="11" t="n"/>
      <c r="D403" s="11" t="n"/>
      <c r="E403" s="11" t="n"/>
      <c r="F403" s="11" t="n"/>
      <c r="G403" s="55" t="n"/>
      <c r="H403" s="55" t="n"/>
      <c r="I403" s="55" t="n"/>
      <c r="J403" s="11" t="n"/>
      <c r="K403" s="56" t="n"/>
      <c r="L403" s="46">
        <f>K403-J403</f>
        <v/>
      </c>
      <c r="M403" s="47" t="n"/>
      <c r="N403" s="48">
        <f>IF(A403="","",COUNTIFS(上课记录!$B:$B,A403,上课记录!$J:$J,"是"))</f>
        <v/>
      </c>
      <c r="O403" s="31">
        <f>IF(A403="","",IF(F403="次卡",MAX(0,M403-N403),"—"))</f>
        <v/>
      </c>
      <c r="P403" s="31">
        <f>IF(A403="","",IF(F403="期限卡",MAX(0,I403-TODAY()),"—"))</f>
        <v/>
      </c>
      <c r="Q403" s="31">
        <f>IF(A403="","",IF(F403="次卡",IF(OR(K403="",K403=0,M403=0),"",K403/M403),IF(F403="期限卡",IF(AND(K403&lt;&gt;"",K403&lt;&gt;0,I403&gt;H403),K403/(I403-H403),""),"")))</f>
        <v/>
      </c>
      <c r="R403" s="31">
        <f>IF(A403="","",IF(F403="次卡",IF(OR(K403="",K403=0,M403=0),"",Q403*O403),IF(F403="期限卡",IF(AND(K403&lt;&gt;"",K403&lt;&gt;0,I403&gt;H403),Q403*P403,""),"")))</f>
        <v/>
      </c>
      <c r="S403" s="58">
        <f>IF(A403="","",IFERROR(_xlfn.MAXIFS(上课记录!$D:$D,上课记录!$B:$B,A403,上课记录!$J:$J,"是"),""))</f>
        <v/>
      </c>
      <c r="T403" s="31">
        <f>IF(A403="","",IF(S403="","",TODAY()-S403))</f>
        <v/>
      </c>
      <c r="U403" s="31">
        <f>IF(A403="","",IF(OR(AND(F403="次卡",O403=0),AND(F403="期限卡",P403=0)),"已到期",IF(T403&gt;=10,"沉睡客户",IF(T403&gt;=7,"预警客户","正常"))))</f>
        <v/>
      </c>
      <c r="V403" s="11" t="n"/>
      <c r="W403" s="11" t="n"/>
    </row>
    <row r="404">
      <c r="A404" s="44" t="n"/>
      <c r="B404" s="11" t="n"/>
      <c r="C404" s="11" t="n"/>
      <c r="D404" s="11" t="n"/>
      <c r="E404" s="11" t="n"/>
      <c r="F404" s="11" t="n"/>
      <c r="G404" s="55" t="n"/>
      <c r="H404" s="55" t="n"/>
      <c r="I404" s="55" t="n"/>
      <c r="J404" s="11" t="n"/>
      <c r="K404" s="56" t="n"/>
      <c r="L404" s="46">
        <f>K404-J404</f>
        <v/>
      </c>
      <c r="M404" s="47" t="n"/>
      <c r="N404" s="48">
        <f>IF(A404="","",COUNTIFS(上课记录!$B:$B,A404,上课记录!$J:$J,"是"))</f>
        <v/>
      </c>
      <c r="O404" s="31">
        <f>IF(A404="","",IF(F404="次卡",MAX(0,M404-N404),"—"))</f>
        <v/>
      </c>
      <c r="P404" s="31">
        <f>IF(A404="","",IF(F404="期限卡",MAX(0,I404-TODAY()),"—"))</f>
        <v/>
      </c>
      <c r="Q404" s="31">
        <f>IF(A404="","",IF(F404="次卡",IF(OR(K404="",K404=0,M404=0),"",K404/M404),IF(F404="期限卡",IF(AND(K404&lt;&gt;"",K404&lt;&gt;0,I404&gt;H404),K404/(I404-H404),""),"")))</f>
        <v/>
      </c>
      <c r="R404" s="31">
        <f>IF(A404="","",IF(F404="次卡",IF(OR(K404="",K404=0,M404=0),"",Q404*O404),IF(F404="期限卡",IF(AND(K404&lt;&gt;"",K404&lt;&gt;0,I404&gt;H404),Q404*P404,""),"")))</f>
        <v/>
      </c>
      <c r="S404" s="58">
        <f>IF(A404="","",IFERROR(_xlfn.MAXIFS(上课记录!$D:$D,上课记录!$B:$B,A404,上课记录!$J:$J,"是"),""))</f>
        <v/>
      </c>
      <c r="T404" s="31">
        <f>IF(A404="","",IF(S404="","",TODAY()-S404))</f>
        <v/>
      </c>
      <c r="U404" s="31">
        <f>IF(A404="","",IF(OR(AND(F404="次卡",O404=0),AND(F404="期限卡",P404=0)),"已到期",IF(T404&gt;=10,"沉睡客户",IF(T404&gt;=7,"预警客户","正常"))))</f>
        <v/>
      </c>
      <c r="V404" s="11" t="n"/>
      <c r="W404" s="11" t="n"/>
    </row>
    <row r="405">
      <c r="A405" s="44" t="n"/>
      <c r="B405" s="11" t="n"/>
      <c r="C405" s="11" t="n"/>
      <c r="D405" s="11" t="n"/>
      <c r="E405" s="11" t="n"/>
      <c r="F405" s="11" t="n"/>
      <c r="G405" s="55" t="n"/>
      <c r="H405" s="55" t="n"/>
      <c r="I405" s="55" t="n"/>
      <c r="J405" s="11" t="n"/>
      <c r="K405" s="56" t="n"/>
      <c r="L405" s="46">
        <f>K405-J405</f>
        <v/>
      </c>
      <c r="M405" s="47" t="n"/>
      <c r="N405" s="48">
        <f>IF(A405="","",COUNTIFS(上课记录!$B:$B,A405,上课记录!$J:$J,"是"))</f>
        <v/>
      </c>
      <c r="O405" s="31">
        <f>IF(A405="","",IF(F405="次卡",MAX(0,M405-N405),"—"))</f>
        <v/>
      </c>
      <c r="P405" s="31">
        <f>IF(A405="","",IF(F405="期限卡",MAX(0,I405-TODAY()),"—"))</f>
        <v/>
      </c>
      <c r="Q405" s="31">
        <f>IF(A405="","",IF(F405="次卡",IF(OR(K405="",K405=0,M405=0),"",K405/M405),IF(F405="期限卡",IF(AND(K405&lt;&gt;"",K405&lt;&gt;0,I405&gt;H405),K405/(I405-H405),""),"")))</f>
        <v/>
      </c>
      <c r="R405" s="31">
        <f>IF(A405="","",IF(F405="次卡",IF(OR(K405="",K405=0,M405=0),"",Q405*O405),IF(F405="期限卡",IF(AND(K405&lt;&gt;"",K405&lt;&gt;0,I405&gt;H405),Q405*P405,""),"")))</f>
        <v/>
      </c>
      <c r="S405" s="58">
        <f>IF(A405="","",IFERROR(_xlfn.MAXIFS(上课记录!$D:$D,上课记录!$B:$B,A405,上课记录!$J:$J,"是"),""))</f>
        <v/>
      </c>
      <c r="T405" s="31">
        <f>IF(A405="","",IF(S405="","",TODAY()-S405))</f>
        <v/>
      </c>
      <c r="U405" s="31">
        <f>IF(A405="","",IF(OR(AND(F405="次卡",O405=0),AND(F405="期限卡",P405=0)),"已到期",IF(T405&gt;=10,"沉睡客户",IF(T405&gt;=7,"预警客户","正常"))))</f>
        <v/>
      </c>
      <c r="V405" s="11" t="n"/>
      <c r="W405" s="11" t="n"/>
    </row>
    <row r="406">
      <c r="A406" s="44" t="n"/>
      <c r="B406" s="11" t="n"/>
      <c r="C406" s="11" t="n"/>
      <c r="D406" s="11" t="n"/>
      <c r="E406" s="11" t="n"/>
      <c r="F406" s="11" t="n"/>
      <c r="G406" s="55" t="n"/>
      <c r="H406" s="55" t="n"/>
      <c r="I406" s="55" t="n"/>
      <c r="J406" s="11" t="n"/>
      <c r="K406" s="56" t="n"/>
      <c r="L406" s="46">
        <f>K406-J406</f>
        <v/>
      </c>
      <c r="M406" s="47" t="n"/>
      <c r="N406" s="48">
        <f>IF(A406="","",COUNTIFS(上课记录!$B:$B,A406,上课记录!$J:$J,"是"))</f>
        <v/>
      </c>
      <c r="O406" s="31">
        <f>IF(A406="","",IF(F406="次卡",MAX(0,M406-N406),"—"))</f>
        <v/>
      </c>
      <c r="P406" s="31">
        <f>IF(A406="","",IF(F406="期限卡",MAX(0,I406-TODAY()),"—"))</f>
        <v/>
      </c>
      <c r="Q406" s="31">
        <f>IF(A406="","",IF(F406="次卡",IF(OR(K406="",K406=0,M406=0),"",K406/M406),IF(F406="期限卡",IF(AND(K406&lt;&gt;"",K406&lt;&gt;0,I406&gt;H406),K406/(I406-H406),""),"")))</f>
        <v/>
      </c>
      <c r="R406" s="31">
        <f>IF(A406="","",IF(F406="次卡",IF(OR(K406="",K406=0,M406=0),"",Q406*O406),IF(F406="期限卡",IF(AND(K406&lt;&gt;"",K406&lt;&gt;0,I406&gt;H406),Q406*P406,""),"")))</f>
        <v/>
      </c>
      <c r="S406" s="58">
        <f>IF(A406="","",IFERROR(_xlfn.MAXIFS(上课记录!$D:$D,上课记录!$B:$B,A406,上课记录!$J:$J,"是"),""))</f>
        <v/>
      </c>
      <c r="T406" s="31">
        <f>IF(A406="","",IF(S406="","",TODAY()-S406))</f>
        <v/>
      </c>
      <c r="U406" s="31">
        <f>IF(A406="","",IF(OR(AND(F406="次卡",O406=0),AND(F406="期限卡",P406=0)),"已到期",IF(T406&gt;=10,"沉睡客户",IF(T406&gt;=7,"预警客户","正常"))))</f>
        <v/>
      </c>
      <c r="V406" s="11" t="n"/>
      <c r="W406" s="11" t="n"/>
    </row>
    <row r="407">
      <c r="A407" s="44" t="n"/>
      <c r="B407" s="11" t="n"/>
      <c r="C407" s="11" t="n"/>
      <c r="D407" s="11" t="n"/>
      <c r="E407" s="11" t="n"/>
      <c r="F407" s="11" t="n"/>
      <c r="G407" s="55" t="n"/>
      <c r="H407" s="55" t="n"/>
      <c r="I407" s="55" t="n"/>
      <c r="J407" s="11" t="n"/>
      <c r="K407" s="56" t="n"/>
      <c r="L407" s="46">
        <f>K407-J407</f>
        <v/>
      </c>
      <c r="M407" s="47" t="n"/>
      <c r="N407" s="48">
        <f>IF(A407="","",COUNTIFS(上课记录!$B:$B,A407,上课记录!$J:$J,"是"))</f>
        <v/>
      </c>
      <c r="O407" s="31">
        <f>IF(A407="","",IF(F407="次卡",MAX(0,M407-N407),"—"))</f>
        <v/>
      </c>
      <c r="P407" s="31">
        <f>IF(A407="","",IF(F407="期限卡",MAX(0,I407-TODAY()),"—"))</f>
        <v/>
      </c>
      <c r="Q407" s="31">
        <f>IF(A407="","",IF(F407="次卡",IF(OR(K407="",K407=0,M407=0),"",K407/M407),IF(F407="期限卡",IF(AND(K407&lt;&gt;"",K407&lt;&gt;0,I407&gt;H407),K407/(I407-H407),""),"")))</f>
        <v/>
      </c>
      <c r="R407" s="31">
        <f>IF(A407="","",IF(F407="次卡",IF(OR(K407="",K407=0,M407=0),"",Q407*O407),IF(F407="期限卡",IF(AND(K407&lt;&gt;"",K407&lt;&gt;0,I407&gt;H407),Q407*P407,""),"")))</f>
        <v/>
      </c>
      <c r="S407" s="58">
        <f>IF(A407="","",IFERROR(_xlfn.MAXIFS(上课记录!$D:$D,上课记录!$B:$B,A407,上课记录!$J:$J,"是"),""))</f>
        <v/>
      </c>
      <c r="T407" s="31">
        <f>IF(A407="","",IF(S407="","",TODAY()-S407))</f>
        <v/>
      </c>
      <c r="U407" s="31">
        <f>IF(A407="","",IF(OR(AND(F407="次卡",O407=0),AND(F407="期限卡",P407=0)),"已到期",IF(T407&gt;=10,"沉睡客户",IF(T407&gt;=7,"预警客户","正常"))))</f>
        <v/>
      </c>
      <c r="V407" s="11" t="n"/>
      <c r="W407" s="11" t="n"/>
    </row>
    <row r="408">
      <c r="A408" s="44" t="n"/>
      <c r="B408" s="11" t="n"/>
      <c r="C408" s="11" t="n"/>
      <c r="D408" s="11" t="n"/>
      <c r="E408" s="11" t="n"/>
      <c r="F408" s="11" t="n"/>
      <c r="G408" s="55" t="n"/>
      <c r="H408" s="55" t="n"/>
      <c r="I408" s="55" t="n"/>
      <c r="J408" s="11" t="n"/>
      <c r="K408" s="56" t="n"/>
      <c r="L408" s="46">
        <f>K408-J408</f>
        <v/>
      </c>
      <c r="M408" s="47" t="n"/>
      <c r="N408" s="48">
        <f>IF(A408="","",COUNTIFS(上课记录!$B:$B,A408,上课记录!$J:$J,"是"))</f>
        <v/>
      </c>
      <c r="O408" s="31">
        <f>IF(A408="","",IF(F408="次卡",MAX(0,M408-N408),"—"))</f>
        <v/>
      </c>
      <c r="P408" s="31">
        <f>IF(A408="","",IF(F408="期限卡",MAX(0,I408-TODAY()),"—"))</f>
        <v/>
      </c>
      <c r="Q408" s="31">
        <f>IF(A408="","",IF(F408="次卡",IF(OR(K408="",K408=0,M408=0),"",K408/M408),IF(F408="期限卡",IF(AND(K408&lt;&gt;"",K408&lt;&gt;0,I408&gt;H408),K408/(I408-H408),""),"")))</f>
        <v/>
      </c>
      <c r="R408" s="31">
        <f>IF(A408="","",IF(F408="次卡",IF(OR(K408="",K408=0,M408=0),"",Q408*O408),IF(F408="期限卡",IF(AND(K408&lt;&gt;"",K408&lt;&gt;0,I408&gt;H408),Q408*P408,""),"")))</f>
        <v/>
      </c>
      <c r="S408" s="58">
        <f>IF(A408="","",IFERROR(_xlfn.MAXIFS(上课记录!$D:$D,上课记录!$B:$B,A408,上课记录!$J:$J,"是"),""))</f>
        <v/>
      </c>
      <c r="T408" s="31">
        <f>IF(A408="","",IF(S408="","",TODAY()-S408))</f>
        <v/>
      </c>
      <c r="U408" s="31">
        <f>IF(A408="","",IF(OR(AND(F408="次卡",O408=0),AND(F408="期限卡",P408=0)),"已到期",IF(T408&gt;=10,"沉睡客户",IF(T408&gt;=7,"预警客户","正常"))))</f>
        <v/>
      </c>
      <c r="V408" s="11" t="n"/>
      <c r="W408" s="11" t="n"/>
    </row>
    <row r="409">
      <c r="A409" s="44" t="n"/>
      <c r="B409" s="11" t="n"/>
      <c r="C409" s="11" t="n"/>
      <c r="D409" s="11" t="n"/>
      <c r="E409" s="11" t="n"/>
      <c r="F409" s="11" t="n"/>
      <c r="G409" s="55" t="n"/>
      <c r="H409" s="55" t="n"/>
      <c r="I409" s="55" t="n"/>
      <c r="J409" s="11" t="n"/>
      <c r="K409" s="56" t="n"/>
      <c r="L409" s="46">
        <f>K409-J409</f>
        <v/>
      </c>
      <c r="M409" s="47" t="n"/>
      <c r="N409" s="48">
        <f>IF(A409="","",COUNTIFS(上课记录!$B:$B,A409,上课记录!$J:$J,"是"))</f>
        <v/>
      </c>
      <c r="O409" s="31">
        <f>IF(A409="","",IF(F409="次卡",MAX(0,M409-N409),"—"))</f>
        <v/>
      </c>
      <c r="P409" s="31">
        <f>IF(A409="","",IF(F409="期限卡",MAX(0,I409-TODAY()),"—"))</f>
        <v/>
      </c>
      <c r="Q409" s="31">
        <f>IF(A409="","",IF(F409="次卡",IF(OR(K409="",K409=0,M409=0),"",K409/M409),IF(F409="期限卡",IF(AND(K409&lt;&gt;"",K409&lt;&gt;0,I409&gt;H409),K409/(I409-H409),""),"")))</f>
        <v/>
      </c>
      <c r="R409" s="31">
        <f>IF(A409="","",IF(F409="次卡",IF(OR(K409="",K409=0,M409=0),"",Q409*O409),IF(F409="期限卡",IF(AND(K409&lt;&gt;"",K409&lt;&gt;0,I409&gt;H409),Q409*P409,""),"")))</f>
        <v/>
      </c>
      <c r="S409" s="58">
        <f>IF(A409="","",IFERROR(_xlfn.MAXIFS(上课记录!$D:$D,上课记录!$B:$B,A409,上课记录!$J:$J,"是"),""))</f>
        <v/>
      </c>
      <c r="T409" s="31">
        <f>IF(A409="","",IF(S409="","",TODAY()-S409))</f>
        <v/>
      </c>
      <c r="U409" s="31">
        <f>IF(A409="","",IF(OR(AND(F409="次卡",O409=0),AND(F409="期限卡",P409=0)),"已到期",IF(T409&gt;=10,"沉睡客户",IF(T409&gt;=7,"预警客户","正常"))))</f>
        <v/>
      </c>
      <c r="V409" s="11" t="n"/>
      <c r="W409" s="11" t="n"/>
    </row>
    <row r="410">
      <c r="A410" s="44" t="n"/>
      <c r="B410" s="11" t="n"/>
      <c r="C410" s="11" t="n"/>
      <c r="D410" s="11" t="n"/>
      <c r="E410" s="11" t="n"/>
      <c r="F410" s="11" t="n"/>
      <c r="G410" s="55" t="n"/>
      <c r="H410" s="55" t="n"/>
      <c r="I410" s="55" t="n"/>
      <c r="J410" s="11" t="n"/>
      <c r="K410" s="56" t="n"/>
      <c r="L410" s="46">
        <f>K410-J410</f>
        <v/>
      </c>
      <c r="M410" s="47" t="n"/>
      <c r="N410" s="48">
        <f>IF(A410="","",COUNTIFS(上课记录!$B:$B,A410,上课记录!$J:$J,"是"))</f>
        <v/>
      </c>
      <c r="O410" s="31">
        <f>IF(A410="","",IF(F410="次卡",MAX(0,M410-N410),"—"))</f>
        <v/>
      </c>
      <c r="P410" s="31">
        <f>IF(A410="","",IF(F410="期限卡",MAX(0,I410-TODAY()),"—"))</f>
        <v/>
      </c>
      <c r="Q410" s="31">
        <f>IF(A410="","",IF(F410="次卡",IF(OR(K410="",K410=0,M410=0),"",K410/M410),IF(F410="期限卡",IF(AND(K410&lt;&gt;"",K410&lt;&gt;0,I410&gt;H410),K410/(I410-H410),""),"")))</f>
        <v/>
      </c>
      <c r="R410" s="31">
        <f>IF(A410="","",IF(F410="次卡",IF(OR(K410="",K410=0,M410=0),"",Q410*O410),IF(F410="期限卡",IF(AND(K410&lt;&gt;"",K410&lt;&gt;0,I410&gt;H410),Q410*P410,""),"")))</f>
        <v/>
      </c>
      <c r="S410" s="58">
        <f>IF(A410="","",IFERROR(_xlfn.MAXIFS(上课记录!$D:$D,上课记录!$B:$B,A410,上课记录!$J:$J,"是"),""))</f>
        <v/>
      </c>
      <c r="T410" s="31">
        <f>IF(A410="","",IF(S410="","",TODAY()-S410))</f>
        <v/>
      </c>
      <c r="U410" s="31">
        <f>IF(A410="","",IF(OR(AND(F410="次卡",O410=0),AND(F410="期限卡",P410=0)),"已到期",IF(T410&gt;=10,"沉睡客户",IF(T410&gt;=7,"预警客户","正常"))))</f>
        <v/>
      </c>
      <c r="V410" s="11" t="n"/>
      <c r="W410" s="11" t="n"/>
    </row>
    <row r="411">
      <c r="A411" s="44" t="n"/>
      <c r="B411" s="11" t="n"/>
      <c r="C411" s="11" t="n"/>
      <c r="D411" s="11" t="n"/>
      <c r="E411" s="11" t="n"/>
      <c r="F411" s="11" t="n"/>
      <c r="G411" s="55" t="n"/>
      <c r="H411" s="55" t="n"/>
      <c r="I411" s="55" t="n"/>
      <c r="J411" s="11" t="n"/>
      <c r="K411" s="56" t="n"/>
      <c r="L411" s="46">
        <f>K411-J411</f>
        <v/>
      </c>
      <c r="M411" s="47" t="n"/>
      <c r="N411" s="48">
        <f>IF(A411="","",COUNTIFS(上课记录!$B:$B,A411,上课记录!$J:$J,"是"))</f>
        <v/>
      </c>
      <c r="O411" s="31">
        <f>IF(A411="","",IF(F411="次卡",MAX(0,M411-N411),"—"))</f>
        <v/>
      </c>
      <c r="P411" s="31">
        <f>IF(A411="","",IF(F411="期限卡",MAX(0,I411-TODAY()),"—"))</f>
        <v/>
      </c>
      <c r="Q411" s="31">
        <f>IF(A411="","",IF(F411="次卡",IF(OR(K411="",K411=0,M411=0),"",K411/M411),IF(F411="期限卡",IF(AND(K411&lt;&gt;"",K411&lt;&gt;0,I411&gt;H411),K411/(I411-H411),""),"")))</f>
        <v/>
      </c>
      <c r="R411" s="31">
        <f>IF(A411="","",IF(F411="次卡",IF(OR(K411="",K411=0,M411=0),"",Q411*O411),IF(F411="期限卡",IF(AND(K411&lt;&gt;"",K411&lt;&gt;0,I411&gt;H411),Q411*P411,""),"")))</f>
        <v/>
      </c>
      <c r="S411" s="58">
        <f>IF(A411="","",IFERROR(_xlfn.MAXIFS(上课记录!$D:$D,上课记录!$B:$B,A411,上课记录!$J:$J,"是"),""))</f>
        <v/>
      </c>
      <c r="T411" s="31">
        <f>IF(A411="","",IF(S411="","",TODAY()-S411))</f>
        <v/>
      </c>
      <c r="U411" s="31">
        <f>IF(A411="","",IF(OR(AND(F411="次卡",O411=0),AND(F411="期限卡",P411=0)),"已到期",IF(T411&gt;=10,"沉睡客户",IF(T411&gt;=7,"预警客户","正常"))))</f>
        <v/>
      </c>
      <c r="V411" s="11" t="n"/>
      <c r="W411" s="11" t="n"/>
    </row>
    <row r="412">
      <c r="A412" s="44" t="n"/>
      <c r="B412" s="11" t="n"/>
      <c r="C412" s="11" t="n"/>
      <c r="D412" s="11" t="n"/>
      <c r="E412" s="11" t="n"/>
      <c r="F412" s="11" t="n"/>
      <c r="G412" s="55" t="n"/>
      <c r="H412" s="55" t="n"/>
      <c r="I412" s="55" t="n"/>
      <c r="J412" s="11" t="n"/>
      <c r="K412" s="56" t="n"/>
      <c r="L412" s="46">
        <f>K412-J412</f>
        <v/>
      </c>
      <c r="M412" s="47" t="n"/>
      <c r="N412" s="48">
        <f>IF(A412="","",COUNTIFS(上课记录!$B:$B,A412,上课记录!$J:$J,"是"))</f>
        <v/>
      </c>
      <c r="O412" s="31">
        <f>IF(A412="","",IF(F412="次卡",MAX(0,M412-N412),"—"))</f>
        <v/>
      </c>
      <c r="P412" s="31">
        <f>IF(A412="","",IF(F412="期限卡",MAX(0,I412-TODAY()),"—"))</f>
        <v/>
      </c>
      <c r="Q412" s="31">
        <f>IF(A412="","",IF(F412="次卡",IF(OR(K412="",K412=0,M412=0),"",K412/M412),IF(F412="期限卡",IF(AND(K412&lt;&gt;"",K412&lt;&gt;0,I412&gt;H412),K412/(I412-H412),""),"")))</f>
        <v/>
      </c>
      <c r="R412" s="31">
        <f>IF(A412="","",IF(F412="次卡",IF(OR(K412="",K412=0,M412=0),"",Q412*O412),IF(F412="期限卡",IF(AND(K412&lt;&gt;"",K412&lt;&gt;0,I412&gt;H412),Q412*P412,""),"")))</f>
        <v/>
      </c>
      <c r="S412" s="58">
        <f>IF(A412="","",IFERROR(_xlfn.MAXIFS(上课记录!$D:$D,上课记录!$B:$B,A412,上课记录!$J:$J,"是"),""))</f>
        <v/>
      </c>
      <c r="T412" s="31">
        <f>IF(A412="","",IF(S412="","",TODAY()-S412))</f>
        <v/>
      </c>
      <c r="U412" s="31">
        <f>IF(A412="","",IF(OR(AND(F412="次卡",O412=0),AND(F412="期限卡",P412=0)),"已到期",IF(T412&gt;=10,"沉睡客户",IF(T412&gt;=7,"预警客户","正常"))))</f>
        <v/>
      </c>
      <c r="V412" s="11" t="n"/>
      <c r="W412" s="11" t="n"/>
    </row>
    <row r="413">
      <c r="A413" s="44" t="n"/>
      <c r="B413" s="11" t="n"/>
      <c r="C413" s="11" t="n"/>
      <c r="D413" s="11" t="n"/>
      <c r="E413" s="11" t="n"/>
      <c r="F413" s="11" t="n"/>
      <c r="G413" s="55" t="n"/>
      <c r="H413" s="55" t="n"/>
      <c r="I413" s="55" t="n"/>
      <c r="J413" s="11" t="n"/>
      <c r="K413" s="56" t="n"/>
      <c r="L413" s="46">
        <f>K413-J413</f>
        <v/>
      </c>
      <c r="M413" s="47" t="n"/>
      <c r="N413" s="48">
        <f>IF(A413="","",COUNTIFS(上课记录!$B:$B,A413,上课记录!$J:$J,"是"))</f>
        <v/>
      </c>
      <c r="O413" s="31">
        <f>IF(A413="","",IF(F413="次卡",MAX(0,M413-N413),"—"))</f>
        <v/>
      </c>
      <c r="P413" s="31">
        <f>IF(A413="","",IF(F413="期限卡",MAX(0,I413-TODAY()),"—"))</f>
        <v/>
      </c>
      <c r="Q413" s="31">
        <f>IF(A413="","",IF(F413="次卡",IF(OR(K413="",K413=0,M413=0),"",K413/M413),IF(F413="期限卡",IF(AND(K413&lt;&gt;"",K413&lt;&gt;0,I413&gt;H413),K413/(I413-H413),""),"")))</f>
        <v/>
      </c>
      <c r="R413" s="31">
        <f>IF(A413="","",IF(F413="次卡",IF(OR(K413="",K413=0,M413=0),"",Q413*O413),IF(F413="期限卡",IF(AND(K413&lt;&gt;"",K413&lt;&gt;0,I413&gt;H413),Q413*P413,""),"")))</f>
        <v/>
      </c>
      <c r="S413" s="58">
        <f>IF(A413="","",IFERROR(_xlfn.MAXIFS(上课记录!$D:$D,上课记录!$B:$B,A413,上课记录!$J:$J,"是"),""))</f>
        <v/>
      </c>
      <c r="T413" s="31">
        <f>IF(A413="","",IF(S413="","",TODAY()-S413))</f>
        <v/>
      </c>
      <c r="U413" s="31">
        <f>IF(A413="","",IF(OR(AND(F413="次卡",O413=0),AND(F413="期限卡",P413=0)),"已到期",IF(T413&gt;=10,"沉睡客户",IF(T413&gt;=7,"预警客户","正常"))))</f>
        <v/>
      </c>
      <c r="V413" s="11" t="n"/>
      <c r="W413" s="11" t="n"/>
    </row>
    <row r="414">
      <c r="A414" s="44" t="n"/>
      <c r="B414" s="11" t="n"/>
      <c r="C414" s="11" t="n"/>
      <c r="D414" s="11" t="n"/>
      <c r="E414" s="11" t="n"/>
      <c r="F414" s="11" t="n"/>
      <c r="G414" s="55" t="n"/>
      <c r="H414" s="55" t="n"/>
      <c r="I414" s="55" t="n"/>
      <c r="J414" s="11" t="n"/>
      <c r="K414" s="56" t="n"/>
      <c r="L414" s="46">
        <f>K414-J414</f>
        <v/>
      </c>
      <c r="M414" s="47" t="n"/>
      <c r="N414" s="48">
        <f>IF(A414="","",COUNTIFS(上课记录!$B:$B,A414,上课记录!$J:$J,"是"))</f>
        <v/>
      </c>
      <c r="O414" s="31">
        <f>IF(A414="","",IF(F414="次卡",MAX(0,M414-N414),"—"))</f>
        <v/>
      </c>
      <c r="P414" s="31">
        <f>IF(A414="","",IF(F414="期限卡",MAX(0,I414-TODAY()),"—"))</f>
        <v/>
      </c>
      <c r="Q414" s="31">
        <f>IF(A414="","",IF(F414="次卡",IF(OR(K414="",K414=0,M414=0),"",K414/M414),IF(F414="期限卡",IF(AND(K414&lt;&gt;"",K414&lt;&gt;0,I414&gt;H414),K414/(I414-H414),""),"")))</f>
        <v/>
      </c>
      <c r="R414" s="31">
        <f>IF(A414="","",IF(F414="次卡",IF(OR(K414="",K414=0,M414=0),"",Q414*O414),IF(F414="期限卡",IF(AND(K414&lt;&gt;"",K414&lt;&gt;0,I414&gt;H414),Q414*P414,""),"")))</f>
        <v/>
      </c>
      <c r="S414" s="58">
        <f>IF(A414="","",IFERROR(_xlfn.MAXIFS(上课记录!$D:$D,上课记录!$B:$B,A414,上课记录!$J:$J,"是"),""))</f>
        <v/>
      </c>
      <c r="T414" s="31">
        <f>IF(A414="","",IF(S414="","",TODAY()-S414))</f>
        <v/>
      </c>
      <c r="U414" s="31">
        <f>IF(A414="","",IF(OR(AND(F414="次卡",O414=0),AND(F414="期限卡",P414=0)),"已到期",IF(T414&gt;=10,"沉睡客户",IF(T414&gt;=7,"预警客户","正常"))))</f>
        <v/>
      </c>
      <c r="V414" s="11" t="n"/>
      <c r="W414" s="11" t="n"/>
    </row>
    <row r="415">
      <c r="A415" s="44" t="n"/>
      <c r="B415" s="11" t="n"/>
      <c r="C415" s="11" t="n"/>
      <c r="D415" s="11" t="n"/>
      <c r="E415" s="11" t="n"/>
      <c r="F415" s="11" t="n"/>
      <c r="G415" s="55" t="n"/>
      <c r="H415" s="55" t="n"/>
      <c r="I415" s="55" t="n"/>
      <c r="J415" s="11" t="n"/>
      <c r="K415" s="56" t="n"/>
      <c r="L415" s="46">
        <f>K415-J415</f>
        <v/>
      </c>
      <c r="M415" s="47" t="n"/>
      <c r="N415" s="48">
        <f>IF(A415="","",COUNTIFS(上课记录!$B:$B,A415,上课记录!$J:$J,"是"))</f>
        <v/>
      </c>
      <c r="O415" s="31">
        <f>IF(A415="","",IF(F415="次卡",MAX(0,M415-N415),"—"))</f>
        <v/>
      </c>
      <c r="P415" s="31">
        <f>IF(A415="","",IF(F415="期限卡",MAX(0,I415-TODAY()),"—"))</f>
        <v/>
      </c>
      <c r="Q415" s="31">
        <f>IF(A415="","",IF(F415="次卡",IF(OR(K415="",K415=0,M415=0),"",K415/M415),IF(F415="期限卡",IF(AND(K415&lt;&gt;"",K415&lt;&gt;0,I415&gt;H415),K415/(I415-H415),""),"")))</f>
        <v/>
      </c>
      <c r="R415" s="31">
        <f>IF(A415="","",IF(F415="次卡",IF(OR(K415="",K415=0,M415=0),"",Q415*O415),IF(F415="期限卡",IF(AND(K415&lt;&gt;"",K415&lt;&gt;0,I415&gt;H415),Q415*P415,""),"")))</f>
        <v/>
      </c>
      <c r="S415" s="58">
        <f>IF(A415="","",IFERROR(_xlfn.MAXIFS(上课记录!$D:$D,上课记录!$B:$B,A415,上课记录!$J:$J,"是"),""))</f>
        <v/>
      </c>
      <c r="T415" s="31">
        <f>IF(A415="","",IF(S415="","",TODAY()-S415))</f>
        <v/>
      </c>
      <c r="U415" s="31">
        <f>IF(A415="","",IF(OR(AND(F415="次卡",O415=0),AND(F415="期限卡",P415=0)),"已到期",IF(T415&gt;=10,"沉睡客户",IF(T415&gt;=7,"预警客户","正常"))))</f>
        <v/>
      </c>
      <c r="V415" s="11" t="n"/>
      <c r="W415" s="11" t="n"/>
    </row>
    <row r="416">
      <c r="A416" s="44" t="n"/>
      <c r="B416" s="11" t="n"/>
      <c r="C416" s="11" t="n"/>
      <c r="D416" s="11" t="n"/>
      <c r="E416" s="11" t="n"/>
      <c r="F416" s="11" t="n"/>
      <c r="G416" s="55" t="n"/>
      <c r="H416" s="55" t="n"/>
      <c r="I416" s="55" t="n"/>
      <c r="J416" s="11" t="n"/>
      <c r="K416" s="56" t="n"/>
      <c r="L416" s="46">
        <f>K416-J416</f>
        <v/>
      </c>
      <c r="M416" s="47" t="n"/>
      <c r="N416" s="48">
        <f>IF(A416="","",COUNTIFS(上课记录!$B:$B,A416,上课记录!$J:$J,"是"))</f>
        <v/>
      </c>
      <c r="O416" s="31">
        <f>IF(A416="","",IF(F416="次卡",MAX(0,M416-N416),"—"))</f>
        <v/>
      </c>
      <c r="P416" s="31">
        <f>IF(A416="","",IF(F416="期限卡",MAX(0,I416-TODAY()),"—"))</f>
        <v/>
      </c>
      <c r="Q416" s="31">
        <f>IF(A416="","",IF(F416="次卡",IF(OR(K416="",K416=0,M416=0),"",K416/M416),IF(F416="期限卡",IF(AND(K416&lt;&gt;"",K416&lt;&gt;0,I416&gt;H416),K416/(I416-H416),""),"")))</f>
        <v/>
      </c>
      <c r="R416" s="31">
        <f>IF(A416="","",IF(F416="次卡",IF(OR(K416="",K416=0,M416=0),"",Q416*O416),IF(F416="期限卡",IF(AND(K416&lt;&gt;"",K416&lt;&gt;0,I416&gt;H416),Q416*P416,""),"")))</f>
        <v/>
      </c>
      <c r="S416" s="58">
        <f>IF(A416="","",IFERROR(_xlfn.MAXIFS(上课记录!$D:$D,上课记录!$B:$B,A416,上课记录!$J:$J,"是"),""))</f>
        <v/>
      </c>
      <c r="T416" s="31">
        <f>IF(A416="","",IF(S416="","",TODAY()-S416))</f>
        <v/>
      </c>
      <c r="U416" s="31">
        <f>IF(A416="","",IF(OR(AND(F416="次卡",O416=0),AND(F416="期限卡",P416=0)),"已到期",IF(T416&gt;=10,"沉睡客户",IF(T416&gt;=7,"预警客户","正常"))))</f>
        <v/>
      </c>
      <c r="V416" s="11" t="n"/>
      <c r="W416" s="11" t="n"/>
    </row>
    <row r="417">
      <c r="A417" s="44" t="n"/>
      <c r="B417" s="11" t="n"/>
      <c r="C417" s="11" t="n"/>
      <c r="D417" s="11" t="n"/>
      <c r="E417" s="11" t="n"/>
      <c r="F417" s="11" t="n"/>
      <c r="G417" s="55" t="n"/>
      <c r="H417" s="55" t="n"/>
      <c r="I417" s="55" t="n"/>
      <c r="J417" s="11" t="n"/>
      <c r="K417" s="56" t="n"/>
      <c r="L417" s="46">
        <f>K417-J417</f>
        <v/>
      </c>
      <c r="M417" s="47" t="n"/>
      <c r="N417" s="48">
        <f>IF(A417="","",COUNTIFS(上课记录!$B:$B,A417,上课记录!$J:$J,"是"))</f>
        <v/>
      </c>
      <c r="O417" s="31">
        <f>IF(A417="","",IF(F417="次卡",MAX(0,M417-N417),"—"))</f>
        <v/>
      </c>
      <c r="P417" s="31">
        <f>IF(A417="","",IF(F417="期限卡",MAX(0,I417-TODAY()),"—"))</f>
        <v/>
      </c>
      <c r="Q417" s="31">
        <f>IF(A417="","",IF(F417="次卡",IF(OR(K417="",K417=0,M417=0),"",K417/M417),IF(F417="期限卡",IF(AND(K417&lt;&gt;"",K417&lt;&gt;0,I417&gt;H417),K417/(I417-H417),""),"")))</f>
        <v/>
      </c>
      <c r="R417" s="31">
        <f>IF(A417="","",IF(F417="次卡",IF(OR(K417="",K417=0,M417=0),"",Q417*O417),IF(F417="期限卡",IF(AND(K417&lt;&gt;"",K417&lt;&gt;0,I417&gt;H417),Q417*P417,""),"")))</f>
        <v/>
      </c>
      <c r="S417" s="58">
        <f>IF(A417="","",IFERROR(_xlfn.MAXIFS(上课记录!$D:$D,上课记录!$B:$B,A417,上课记录!$J:$J,"是"),""))</f>
        <v/>
      </c>
      <c r="T417" s="31">
        <f>IF(A417="","",IF(S417="","",TODAY()-S417))</f>
        <v/>
      </c>
      <c r="U417" s="31">
        <f>IF(A417="","",IF(OR(AND(F417="次卡",O417=0),AND(F417="期限卡",P417=0)),"已到期",IF(T417&gt;=10,"沉睡客户",IF(T417&gt;=7,"预警客户","正常"))))</f>
        <v/>
      </c>
      <c r="V417" s="11" t="n"/>
      <c r="W417" s="11" t="n"/>
    </row>
    <row r="418">
      <c r="A418" s="44" t="n"/>
      <c r="B418" s="11" t="n"/>
      <c r="C418" s="11" t="n"/>
      <c r="D418" s="11" t="n"/>
      <c r="E418" s="11" t="n"/>
      <c r="F418" s="11" t="n"/>
      <c r="G418" s="55" t="n"/>
      <c r="H418" s="55" t="n"/>
      <c r="I418" s="55" t="n"/>
      <c r="J418" s="11" t="n"/>
      <c r="K418" s="56" t="n"/>
      <c r="L418" s="46">
        <f>K418-J418</f>
        <v/>
      </c>
      <c r="M418" s="47" t="n"/>
      <c r="N418" s="48">
        <f>IF(A418="","",COUNTIFS(上课记录!$B:$B,A418,上课记录!$J:$J,"是"))</f>
        <v/>
      </c>
      <c r="O418" s="31">
        <f>IF(A418="","",IF(F418="次卡",MAX(0,M418-N418),"—"))</f>
        <v/>
      </c>
      <c r="P418" s="31">
        <f>IF(A418="","",IF(F418="期限卡",MAX(0,I418-TODAY()),"—"))</f>
        <v/>
      </c>
      <c r="Q418" s="31">
        <f>IF(A418="","",IF(F418="次卡",IF(OR(K418="",K418=0,M418=0),"",K418/M418),IF(F418="期限卡",IF(AND(K418&lt;&gt;"",K418&lt;&gt;0,I418&gt;H418),K418/(I418-H418),""),"")))</f>
        <v/>
      </c>
      <c r="R418" s="31">
        <f>IF(A418="","",IF(F418="次卡",IF(OR(K418="",K418=0,M418=0),"",Q418*O418),IF(F418="期限卡",IF(AND(K418&lt;&gt;"",K418&lt;&gt;0,I418&gt;H418),Q418*P418,""),"")))</f>
        <v/>
      </c>
      <c r="S418" s="58">
        <f>IF(A418="","",IFERROR(_xlfn.MAXIFS(上课记录!$D:$D,上课记录!$B:$B,A418,上课记录!$J:$J,"是"),""))</f>
        <v/>
      </c>
      <c r="T418" s="31">
        <f>IF(A418="","",IF(S418="","",TODAY()-S418))</f>
        <v/>
      </c>
      <c r="U418" s="31">
        <f>IF(A418="","",IF(OR(AND(F418="次卡",O418=0),AND(F418="期限卡",P418=0)),"已到期",IF(T418&gt;=10,"沉睡客户",IF(T418&gt;=7,"预警客户","正常"))))</f>
        <v/>
      </c>
      <c r="V418" s="11" t="n"/>
      <c r="W418" s="11" t="n"/>
    </row>
    <row r="419">
      <c r="A419" s="44" t="n"/>
      <c r="B419" s="11" t="n"/>
      <c r="C419" s="11" t="n"/>
      <c r="D419" s="11" t="n"/>
      <c r="E419" s="11" t="n"/>
      <c r="F419" s="11" t="n"/>
      <c r="G419" s="55" t="n"/>
      <c r="H419" s="55" t="n"/>
      <c r="I419" s="55" t="n"/>
      <c r="J419" s="11" t="n"/>
      <c r="K419" s="56" t="n"/>
      <c r="L419" s="46">
        <f>K419-J419</f>
        <v/>
      </c>
      <c r="M419" s="47" t="n"/>
      <c r="N419" s="48">
        <f>IF(A419="","",COUNTIFS(上课记录!$B:$B,A419,上课记录!$J:$J,"是"))</f>
        <v/>
      </c>
      <c r="O419" s="31">
        <f>IF(A419="","",IF(F419="次卡",MAX(0,M419-N419),"—"))</f>
        <v/>
      </c>
      <c r="P419" s="31">
        <f>IF(A419="","",IF(F419="期限卡",MAX(0,I419-TODAY()),"—"))</f>
        <v/>
      </c>
      <c r="Q419" s="31">
        <f>IF(A419="","",IF(F419="次卡",IF(OR(K419="",K419=0,M419=0),"",K419/M419),IF(F419="期限卡",IF(AND(K419&lt;&gt;"",K419&lt;&gt;0,I419&gt;H419),K419/(I419-H419),""),"")))</f>
        <v/>
      </c>
      <c r="R419" s="31">
        <f>IF(A419="","",IF(F419="次卡",IF(OR(K419="",K419=0,M419=0),"",Q419*O419),IF(F419="期限卡",IF(AND(K419&lt;&gt;"",K419&lt;&gt;0,I419&gt;H419),Q419*P419,""),"")))</f>
        <v/>
      </c>
      <c r="S419" s="58">
        <f>IF(A419="","",IFERROR(_xlfn.MAXIFS(上课记录!$D:$D,上课记录!$B:$B,A419,上课记录!$J:$J,"是"),""))</f>
        <v/>
      </c>
      <c r="T419" s="31">
        <f>IF(A419="","",IF(S419="","",TODAY()-S419))</f>
        <v/>
      </c>
      <c r="U419" s="31">
        <f>IF(A419="","",IF(OR(AND(F419="次卡",O419=0),AND(F419="期限卡",P419=0)),"已到期",IF(T419&gt;=10,"沉睡客户",IF(T419&gt;=7,"预警客户","正常"))))</f>
        <v/>
      </c>
      <c r="V419" s="11" t="n"/>
      <c r="W419" s="11" t="n"/>
    </row>
    <row r="420">
      <c r="A420" s="44" t="n"/>
      <c r="B420" s="11" t="n"/>
      <c r="C420" s="11" t="n"/>
      <c r="D420" s="11" t="n"/>
      <c r="E420" s="11" t="n"/>
      <c r="F420" s="11" t="n"/>
      <c r="G420" s="55" t="n"/>
      <c r="H420" s="55" t="n"/>
      <c r="I420" s="55" t="n"/>
      <c r="J420" s="11" t="n"/>
      <c r="K420" s="56" t="n"/>
      <c r="L420" s="46">
        <f>K420-J420</f>
        <v/>
      </c>
      <c r="M420" s="47" t="n"/>
      <c r="N420" s="48">
        <f>IF(A420="","",COUNTIFS(上课记录!$B:$B,A420,上课记录!$J:$J,"是"))</f>
        <v/>
      </c>
      <c r="O420" s="31">
        <f>IF(A420="","",IF(F420="次卡",MAX(0,M420-N420),"—"))</f>
        <v/>
      </c>
      <c r="P420" s="31">
        <f>IF(A420="","",IF(F420="期限卡",MAX(0,I420-TODAY()),"—"))</f>
        <v/>
      </c>
      <c r="Q420" s="31">
        <f>IF(A420="","",IF(F420="次卡",IF(OR(K420="",K420=0,M420=0),"",K420/M420),IF(F420="期限卡",IF(AND(K420&lt;&gt;"",K420&lt;&gt;0,I420&gt;H420),K420/(I420-H420),""),"")))</f>
        <v/>
      </c>
      <c r="R420" s="31">
        <f>IF(A420="","",IF(F420="次卡",IF(OR(K420="",K420=0,M420=0),"",Q420*O420),IF(F420="期限卡",IF(AND(K420&lt;&gt;"",K420&lt;&gt;0,I420&gt;H420),Q420*P420,""),"")))</f>
        <v/>
      </c>
      <c r="S420" s="58">
        <f>IF(A420="","",IFERROR(_xlfn.MAXIFS(上课记录!$D:$D,上课记录!$B:$B,A420,上课记录!$J:$J,"是"),""))</f>
        <v/>
      </c>
      <c r="T420" s="31">
        <f>IF(A420="","",IF(S420="","",TODAY()-S420))</f>
        <v/>
      </c>
      <c r="U420" s="31">
        <f>IF(A420="","",IF(OR(AND(F420="次卡",O420=0),AND(F420="期限卡",P420=0)),"已到期",IF(T420&gt;=10,"沉睡客户",IF(T420&gt;=7,"预警客户","正常"))))</f>
        <v/>
      </c>
      <c r="V420" s="11" t="n"/>
      <c r="W420" s="11" t="n"/>
    </row>
    <row r="421">
      <c r="A421" s="44" t="n"/>
      <c r="B421" s="11" t="n"/>
      <c r="C421" s="11" t="n"/>
      <c r="D421" s="11" t="n"/>
      <c r="E421" s="11" t="n"/>
      <c r="F421" s="11" t="n"/>
      <c r="G421" s="55" t="n"/>
      <c r="H421" s="55" t="n"/>
      <c r="I421" s="55" t="n"/>
      <c r="J421" s="11" t="n"/>
      <c r="K421" s="56" t="n"/>
      <c r="L421" s="46">
        <f>K421-J421</f>
        <v/>
      </c>
      <c r="M421" s="47" t="n"/>
      <c r="N421" s="48">
        <f>IF(A421="","",COUNTIFS(上课记录!$B:$B,A421,上课记录!$J:$J,"是"))</f>
        <v/>
      </c>
      <c r="O421" s="31">
        <f>IF(A421="","",IF(F421="次卡",MAX(0,M421-N421),"—"))</f>
        <v/>
      </c>
      <c r="P421" s="31">
        <f>IF(A421="","",IF(F421="期限卡",MAX(0,I421-TODAY()),"—"))</f>
        <v/>
      </c>
      <c r="Q421" s="31">
        <f>IF(A421="","",IF(F421="次卡",IF(OR(K421="",K421=0,M421=0),"",K421/M421),IF(F421="期限卡",IF(AND(K421&lt;&gt;"",K421&lt;&gt;0,I421&gt;H421),K421/(I421-H421),""),"")))</f>
        <v/>
      </c>
      <c r="R421" s="31">
        <f>IF(A421="","",IF(F421="次卡",IF(OR(K421="",K421=0,M421=0),"",Q421*O421),IF(F421="期限卡",IF(AND(K421&lt;&gt;"",K421&lt;&gt;0,I421&gt;H421),Q421*P421,""),"")))</f>
        <v/>
      </c>
      <c r="S421" s="58">
        <f>IF(A421="","",IFERROR(_xlfn.MAXIFS(上课记录!$D:$D,上课记录!$B:$B,A421,上课记录!$J:$J,"是"),""))</f>
        <v/>
      </c>
      <c r="T421" s="31">
        <f>IF(A421="","",IF(S421="","",TODAY()-S421))</f>
        <v/>
      </c>
      <c r="U421" s="31">
        <f>IF(A421="","",IF(OR(AND(F421="次卡",O421=0),AND(F421="期限卡",P421=0)),"已到期",IF(T421&gt;=10,"沉睡客户",IF(T421&gt;=7,"预警客户","正常"))))</f>
        <v/>
      </c>
      <c r="V421" s="11" t="n"/>
      <c r="W421" s="11" t="n"/>
    </row>
    <row r="422">
      <c r="A422" s="44" t="n"/>
      <c r="B422" s="11" t="n"/>
      <c r="C422" s="11" t="n"/>
      <c r="D422" s="11" t="n"/>
      <c r="E422" s="11" t="n"/>
      <c r="F422" s="11" t="n"/>
      <c r="G422" s="55" t="n"/>
      <c r="H422" s="55" t="n"/>
      <c r="I422" s="55" t="n"/>
      <c r="J422" s="11" t="n"/>
      <c r="K422" s="56" t="n"/>
      <c r="L422" s="46">
        <f>K422-J422</f>
        <v/>
      </c>
      <c r="M422" s="47" t="n"/>
      <c r="N422" s="48">
        <f>IF(A422="","",COUNTIFS(上课记录!$B:$B,A422,上课记录!$J:$J,"是"))</f>
        <v/>
      </c>
      <c r="O422" s="31">
        <f>IF(A422="","",IF(F422="次卡",MAX(0,M422-N422),"—"))</f>
        <v/>
      </c>
      <c r="P422" s="31">
        <f>IF(A422="","",IF(F422="期限卡",MAX(0,I422-TODAY()),"—"))</f>
        <v/>
      </c>
      <c r="Q422" s="31">
        <f>IF(A422="","",IF(F422="次卡",IF(OR(K422="",K422=0,M422=0),"",K422/M422),IF(F422="期限卡",IF(AND(K422&lt;&gt;"",K422&lt;&gt;0,I422&gt;H422),K422/(I422-H422),""),"")))</f>
        <v/>
      </c>
      <c r="R422" s="31">
        <f>IF(A422="","",IF(F422="次卡",IF(OR(K422="",K422=0,M422=0),"",Q422*O422),IF(F422="期限卡",IF(AND(K422&lt;&gt;"",K422&lt;&gt;0,I422&gt;H422),Q422*P422,""),"")))</f>
        <v/>
      </c>
      <c r="S422" s="58">
        <f>IF(A422="","",IFERROR(_xlfn.MAXIFS(上课记录!$D:$D,上课记录!$B:$B,A422,上课记录!$J:$J,"是"),""))</f>
        <v/>
      </c>
      <c r="T422" s="31">
        <f>IF(A422="","",IF(S422="","",TODAY()-S422))</f>
        <v/>
      </c>
      <c r="U422" s="31">
        <f>IF(A422="","",IF(OR(AND(F422="次卡",O422=0),AND(F422="期限卡",P422=0)),"已到期",IF(T422&gt;=10,"沉睡客户",IF(T422&gt;=7,"预警客户","正常"))))</f>
        <v/>
      </c>
      <c r="V422" s="11" t="n"/>
      <c r="W422" s="11" t="n"/>
    </row>
    <row r="423">
      <c r="A423" s="44" t="n"/>
      <c r="B423" s="11" t="n"/>
      <c r="C423" s="11" t="n"/>
      <c r="D423" s="11" t="n"/>
      <c r="E423" s="11" t="n"/>
      <c r="F423" s="11" t="n"/>
      <c r="G423" s="55" t="n"/>
      <c r="H423" s="55" t="n"/>
      <c r="I423" s="55" t="n"/>
      <c r="J423" s="11" t="n"/>
      <c r="K423" s="56" t="n"/>
      <c r="L423" s="46">
        <f>K423-J423</f>
        <v/>
      </c>
      <c r="M423" s="47" t="n"/>
      <c r="N423" s="48">
        <f>IF(A423="","",COUNTIFS(上课记录!$B:$B,A423,上课记录!$J:$J,"是"))</f>
        <v/>
      </c>
      <c r="O423" s="31">
        <f>IF(A423="","",IF(F423="次卡",MAX(0,M423-N423),"—"))</f>
        <v/>
      </c>
      <c r="P423" s="31">
        <f>IF(A423="","",IF(F423="期限卡",MAX(0,I423-TODAY()),"—"))</f>
        <v/>
      </c>
      <c r="Q423" s="31">
        <f>IF(A423="","",IF(F423="次卡",IF(OR(K423="",K423=0,M423=0),"",K423/M423),IF(F423="期限卡",IF(AND(K423&lt;&gt;"",K423&lt;&gt;0,I423&gt;H423),K423/(I423-H423),""),"")))</f>
        <v/>
      </c>
      <c r="R423" s="31">
        <f>IF(A423="","",IF(F423="次卡",IF(OR(K423="",K423=0,M423=0),"",Q423*O423),IF(F423="期限卡",IF(AND(K423&lt;&gt;"",K423&lt;&gt;0,I423&gt;H423),Q423*P423,""),"")))</f>
        <v/>
      </c>
      <c r="S423" s="58">
        <f>IF(A423="","",IFERROR(_xlfn.MAXIFS(上课记录!$D:$D,上课记录!$B:$B,A423,上课记录!$J:$J,"是"),""))</f>
        <v/>
      </c>
      <c r="T423" s="31">
        <f>IF(A423="","",IF(S423="","",TODAY()-S423))</f>
        <v/>
      </c>
      <c r="U423" s="31">
        <f>IF(A423="","",IF(OR(AND(F423="次卡",O423=0),AND(F423="期限卡",P423=0)),"已到期",IF(T423&gt;=10,"沉睡客户",IF(T423&gt;=7,"预警客户","正常"))))</f>
        <v/>
      </c>
      <c r="V423" s="11" t="n"/>
      <c r="W423" s="11" t="n"/>
    </row>
    <row r="424">
      <c r="A424" s="44" t="n"/>
      <c r="B424" s="11" t="n"/>
      <c r="C424" s="11" t="n"/>
      <c r="D424" s="11" t="n"/>
      <c r="E424" s="11" t="n"/>
      <c r="F424" s="11" t="n"/>
      <c r="G424" s="55" t="n"/>
      <c r="H424" s="55" t="n"/>
      <c r="I424" s="55" t="n"/>
      <c r="J424" s="11" t="n"/>
      <c r="K424" s="56" t="n"/>
      <c r="L424" s="46">
        <f>K424-J424</f>
        <v/>
      </c>
      <c r="M424" s="47" t="n"/>
      <c r="N424" s="48">
        <f>IF(A424="","",COUNTIFS(上课记录!$B:$B,A424,上课记录!$J:$J,"是"))</f>
        <v/>
      </c>
      <c r="O424" s="31">
        <f>IF(A424="","",IF(F424="次卡",MAX(0,M424-N424),"—"))</f>
        <v/>
      </c>
      <c r="P424" s="31">
        <f>IF(A424="","",IF(F424="期限卡",MAX(0,I424-TODAY()),"—"))</f>
        <v/>
      </c>
      <c r="Q424" s="31">
        <f>IF(A424="","",IF(F424="次卡",IF(OR(K424="",K424=0,M424=0),"",K424/M424),IF(F424="期限卡",IF(AND(K424&lt;&gt;"",K424&lt;&gt;0,I424&gt;H424),K424/(I424-H424),""),"")))</f>
        <v/>
      </c>
      <c r="R424" s="31">
        <f>IF(A424="","",IF(F424="次卡",IF(OR(K424="",K424=0,M424=0),"",Q424*O424),IF(F424="期限卡",IF(AND(K424&lt;&gt;"",K424&lt;&gt;0,I424&gt;H424),Q424*P424,""),"")))</f>
        <v/>
      </c>
      <c r="S424" s="58">
        <f>IF(A424="","",IFERROR(_xlfn.MAXIFS(上课记录!$D:$D,上课记录!$B:$B,A424,上课记录!$J:$J,"是"),""))</f>
        <v/>
      </c>
      <c r="T424" s="31">
        <f>IF(A424="","",IF(S424="","",TODAY()-S424))</f>
        <v/>
      </c>
      <c r="U424" s="31">
        <f>IF(A424="","",IF(OR(AND(F424="次卡",O424=0),AND(F424="期限卡",P424=0)),"已到期",IF(T424&gt;=10,"沉睡客户",IF(T424&gt;=7,"预警客户","正常"))))</f>
        <v/>
      </c>
      <c r="V424" s="11" t="n"/>
      <c r="W424" s="11" t="n"/>
    </row>
    <row r="425">
      <c r="A425" s="44" t="n"/>
      <c r="B425" s="11" t="n"/>
      <c r="C425" s="11" t="n"/>
      <c r="D425" s="11" t="n"/>
      <c r="E425" s="11" t="n"/>
      <c r="F425" s="11" t="n"/>
      <c r="G425" s="55" t="n"/>
      <c r="H425" s="55" t="n"/>
      <c r="I425" s="55" t="n"/>
      <c r="J425" s="11" t="n"/>
      <c r="K425" s="56" t="n"/>
      <c r="L425" s="46">
        <f>K425-J425</f>
        <v/>
      </c>
      <c r="M425" s="47" t="n"/>
      <c r="N425" s="48">
        <f>IF(A425="","",COUNTIFS(上课记录!$B:$B,A425,上课记录!$J:$J,"是"))</f>
        <v/>
      </c>
      <c r="O425" s="31">
        <f>IF(A425="","",IF(F425="次卡",MAX(0,M425-N425),"—"))</f>
        <v/>
      </c>
      <c r="P425" s="31">
        <f>IF(A425="","",IF(F425="期限卡",MAX(0,I425-TODAY()),"—"))</f>
        <v/>
      </c>
      <c r="Q425" s="31">
        <f>IF(A425="","",IF(F425="次卡",IF(OR(K425="",K425=0,M425=0),"",K425/M425),IF(F425="期限卡",IF(AND(K425&lt;&gt;"",K425&lt;&gt;0,I425&gt;H425),K425/(I425-H425),""),"")))</f>
        <v/>
      </c>
      <c r="R425" s="31">
        <f>IF(A425="","",IF(F425="次卡",IF(OR(K425="",K425=0,M425=0),"",Q425*O425),IF(F425="期限卡",IF(AND(K425&lt;&gt;"",K425&lt;&gt;0,I425&gt;H425),Q425*P425,""),"")))</f>
        <v/>
      </c>
      <c r="S425" s="58">
        <f>IF(A425="","",IFERROR(_xlfn.MAXIFS(上课记录!$D:$D,上课记录!$B:$B,A425,上课记录!$J:$J,"是"),""))</f>
        <v/>
      </c>
      <c r="T425" s="31">
        <f>IF(A425="","",IF(S425="","",TODAY()-S425))</f>
        <v/>
      </c>
      <c r="U425" s="31">
        <f>IF(A425="","",IF(OR(AND(F425="次卡",O425=0),AND(F425="期限卡",P425=0)),"已到期",IF(T425&gt;=10,"沉睡客户",IF(T425&gt;=7,"预警客户","正常"))))</f>
        <v/>
      </c>
      <c r="V425" s="11" t="n"/>
      <c r="W425" s="11" t="n"/>
    </row>
    <row r="426">
      <c r="A426" s="44" t="n"/>
      <c r="B426" s="11" t="n"/>
      <c r="C426" s="11" t="n"/>
      <c r="D426" s="11" t="n"/>
      <c r="E426" s="11" t="n"/>
      <c r="F426" s="11" t="n"/>
      <c r="G426" s="55" t="n"/>
      <c r="H426" s="55" t="n"/>
      <c r="I426" s="55" t="n"/>
      <c r="J426" s="11" t="n"/>
      <c r="K426" s="56" t="n"/>
      <c r="L426" s="46">
        <f>K426-J426</f>
        <v/>
      </c>
      <c r="M426" s="47" t="n"/>
      <c r="N426" s="48">
        <f>IF(A426="","",COUNTIFS(上课记录!$B:$B,A426,上课记录!$J:$J,"是"))</f>
        <v/>
      </c>
      <c r="O426" s="31">
        <f>IF(A426="","",IF(F426="次卡",MAX(0,M426-N426),"—"))</f>
        <v/>
      </c>
      <c r="P426" s="31">
        <f>IF(A426="","",IF(F426="期限卡",MAX(0,I426-TODAY()),"—"))</f>
        <v/>
      </c>
      <c r="Q426" s="31">
        <f>IF(A426="","",IF(F426="次卡",IF(OR(K426="",K426=0,M426=0),"",K426/M426),IF(F426="期限卡",IF(AND(K426&lt;&gt;"",K426&lt;&gt;0,I426&gt;H426),K426/(I426-H426),""),"")))</f>
        <v/>
      </c>
      <c r="R426" s="31">
        <f>IF(A426="","",IF(F426="次卡",IF(OR(K426="",K426=0,M426=0),"",Q426*O426),IF(F426="期限卡",IF(AND(K426&lt;&gt;"",K426&lt;&gt;0,I426&gt;H426),Q426*P426,""),"")))</f>
        <v/>
      </c>
      <c r="S426" s="58">
        <f>IF(A426="","",IFERROR(_xlfn.MAXIFS(上课记录!$D:$D,上课记录!$B:$B,A426,上课记录!$J:$J,"是"),""))</f>
        <v/>
      </c>
      <c r="T426" s="31">
        <f>IF(A426="","",IF(S426="","",TODAY()-S426))</f>
        <v/>
      </c>
      <c r="U426" s="31">
        <f>IF(A426="","",IF(OR(AND(F426="次卡",O426=0),AND(F426="期限卡",P426=0)),"已到期",IF(T426&gt;=10,"沉睡客户",IF(T426&gt;=7,"预警客户","正常"))))</f>
        <v/>
      </c>
      <c r="V426" s="11" t="n"/>
      <c r="W426" s="11" t="n"/>
    </row>
    <row r="427">
      <c r="A427" s="44" t="n"/>
      <c r="B427" s="11" t="n"/>
      <c r="C427" s="11" t="n"/>
      <c r="D427" s="11" t="n"/>
      <c r="E427" s="11" t="n"/>
      <c r="F427" s="11" t="n"/>
      <c r="G427" s="55" t="n"/>
      <c r="H427" s="55" t="n"/>
      <c r="I427" s="55" t="n"/>
      <c r="J427" s="11" t="n"/>
      <c r="K427" s="56" t="n"/>
      <c r="L427" s="46">
        <f>K427-J427</f>
        <v/>
      </c>
      <c r="M427" s="47" t="n"/>
      <c r="N427" s="48">
        <f>IF(A427="","",COUNTIFS(上课记录!$B:$B,A427,上课记录!$J:$J,"是"))</f>
        <v/>
      </c>
      <c r="O427" s="31">
        <f>IF(A427="","",IF(F427="次卡",MAX(0,M427-N427),"—"))</f>
        <v/>
      </c>
      <c r="P427" s="31">
        <f>IF(A427="","",IF(F427="期限卡",MAX(0,I427-TODAY()),"—"))</f>
        <v/>
      </c>
      <c r="Q427" s="31">
        <f>IF(A427="","",IF(F427="次卡",IF(OR(K427="",K427=0,M427=0),"",K427/M427),IF(F427="期限卡",IF(AND(K427&lt;&gt;"",K427&lt;&gt;0,I427&gt;H427),K427/(I427-H427),""),"")))</f>
        <v/>
      </c>
      <c r="R427" s="31">
        <f>IF(A427="","",IF(F427="次卡",IF(OR(K427="",K427=0,M427=0),"",Q427*O427),IF(F427="期限卡",IF(AND(K427&lt;&gt;"",K427&lt;&gt;0,I427&gt;H427),Q427*P427,""),"")))</f>
        <v/>
      </c>
      <c r="S427" s="58">
        <f>IF(A427="","",IFERROR(_xlfn.MAXIFS(上课记录!$D:$D,上课记录!$B:$B,A427,上课记录!$J:$J,"是"),""))</f>
        <v/>
      </c>
      <c r="T427" s="31">
        <f>IF(A427="","",IF(S427="","",TODAY()-S427))</f>
        <v/>
      </c>
      <c r="U427" s="31">
        <f>IF(A427="","",IF(OR(AND(F427="次卡",O427=0),AND(F427="期限卡",P427=0)),"已到期",IF(T427&gt;=10,"沉睡客户",IF(T427&gt;=7,"预警客户","正常"))))</f>
        <v/>
      </c>
      <c r="V427" s="11" t="n"/>
      <c r="W427" s="11" t="n"/>
    </row>
    <row r="428">
      <c r="A428" s="44" t="n"/>
      <c r="B428" s="11" t="n"/>
      <c r="C428" s="11" t="n"/>
      <c r="D428" s="11" t="n"/>
      <c r="E428" s="11" t="n"/>
      <c r="F428" s="11" t="n"/>
      <c r="G428" s="55" t="n"/>
      <c r="H428" s="55" t="n"/>
      <c r="I428" s="55" t="n"/>
      <c r="J428" s="11" t="n"/>
      <c r="K428" s="56" t="n"/>
      <c r="L428" s="46">
        <f>K428-J428</f>
        <v/>
      </c>
      <c r="M428" s="47" t="n"/>
      <c r="N428" s="48">
        <f>IF(A428="","",COUNTIFS(上课记录!$B:$B,A428,上课记录!$J:$J,"是"))</f>
        <v/>
      </c>
      <c r="O428" s="31">
        <f>IF(A428="","",IF(F428="次卡",MAX(0,M428-N428),"—"))</f>
        <v/>
      </c>
      <c r="P428" s="31">
        <f>IF(A428="","",IF(F428="期限卡",MAX(0,I428-TODAY()),"—"))</f>
        <v/>
      </c>
      <c r="Q428" s="31">
        <f>IF(A428="","",IF(F428="次卡",IF(OR(K428="",K428=0,M428=0),"",K428/M428),IF(F428="期限卡",IF(AND(K428&lt;&gt;"",K428&lt;&gt;0,I428&gt;H428),K428/(I428-H428),""),"")))</f>
        <v/>
      </c>
      <c r="R428" s="31">
        <f>IF(A428="","",IF(F428="次卡",IF(OR(K428="",K428=0,M428=0),"",Q428*O428),IF(F428="期限卡",IF(AND(K428&lt;&gt;"",K428&lt;&gt;0,I428&gt;H428),Q428*P428,""),"")))</f>
        <v/>
      </c>
      <c r="S428" s="58">
        <f>IF(A428="","",IFERROR(_xlfn.MAXIFS(上课记录!$D:$D,上课记录!$B:$B,A428,上课记录!$J:$J,"是"),""))</f>
        <v/>
      </c>
      <c r="T428" s="31">
        <f>IF(A428="","",IF(S428="","",TODAY()-S428))</f>
        <v/>
      </c>
      <c r="U428" s="31">
        <f>IF(A428="","",IF(OR(AND(F428="次卡",O428=0),AND(F428="期限卡",P428=0)),"已到期",IF(T428&gt;=10,"沉睡客户",IF(T428&gt;=7,"预警客户","正常"))))</f>
        <v/>
      </c>
      <c r="V428" s="11" t="n"/>
      <c r="W428" s="11" t="n"/>
    </row>
    <row r="429">
      <c r="A429" s="44" t="n"/>
      <c r="B429" s="11" t="n"/>
      <c r="C429" s="11" t="n"/>
      <c r="D429" s="11" t="n"/>
      <c r="E429" s="11" t="n"/>
      <c r="F429" s="11" t="n"/>
      <c r="G429" s="55" t="n"/>
      <c r="H429" s="55" t="n"/>
      <c r="I429" s="55" t="n"/>
      <c r="J429" s="11" t="n"/>
      <c r="K429" s="56" t="n"/>
      <c r="L429" s="46">
        <f>K429-J429</f>
        <v/>
      </c>
      <c r="M429" s="47" t="n"/>
      <c r="N429" s="48">
        <f>IF(A429="","",COUNTIFS(上课记录!$B:$B,A429,上课记录!$J:$J,"是"))</f>
        <v/>
      </c>
      <c r="O429" s="31">
        <f>IF(A429="","",IF(F429="次卡",MAX(0,M429-N429),"—"))</f>
        <v/>
      </c>
      <c r="P429" s="31">
        <f>IF(A429="","",IF(F429="期限卡",MAX(0,I429-TODAY()),"—"))</f>
        <v/>
      </c>
      <c r="Q429" s="31">
        <f>IF(A429="","",IF(F429="次卡",IF(OR(K429="",K429=0,M429=0),"",K429/M429),IF(F429="期限卡",IF(AND(K429&lt;&gt;"",K429&lt;&gt;0,I429&gt;H429),K429/(I429-H429),""),"")))</f>
        <v/>
      </c>
      <c r="R429" s="31">
        <f>IF(A429="","",IF(F429="次卡",IF(OR(K429="",K429=0,M429=0),"",Q429*O429),IF(F429="期限卡",IF(AND(K429&lt;&gt;"",K429&lt;&gt;0,I429&gt;H429),Q429*P429,""),"")))</f>
        <v/>
      </c>
      <c r="S429" s="58">
        <f>IF(A429="","",IFERROR(_xlfn.MAXIFS(上课记录!$D:$D,上课记录!$B:$B,A429,上课记录!$J:$J,"是"),""))</f>
        <v/>
      </c>
      <c r="T429" s="31">
        <f>IF(A429="","",IF(S429="","",TODAY()-S429))</f>
        <v/>
      </c>
      <c r="U429" s="31">
        <f>IF(A429="","",IF(OR(AND(F429="次卡",O429=0),AND(F429="期限卡",P429=0)),"已到期",IF(T429&gt;=10,"沉睡客户",IF(T429&gt;=7,"预警客户","正常"))))</f>
        <v/>
      </c>
      <c r="V429" s="11" t="n"/>
      <c r="W429" s="11" t="n"/>
    </row>
    <row r="430">
      <c r="A430" s="44" t="n"/>
      <c r="B430" s="11" t="n"/>
      <c r="C430" s="11" t="n"/>
      <c r="D430" s="11" t="n"/>
      <c r="E430" s="11" t="n"/>
      <c r="F430" s="11" t="n"/>
      <c r="G430" s="55" t="n"/>
      <c r="H430" s="55" t="n"/>
      <c r="I430" s="55" t="n"/>
      <c r="J430" s="11" t="n"/>
      <c r="K430" s="56" t="n"/>
      <c r="L430" s="46">
        <f>K430-J430</f>
        <v/>
      </c>
      <c r="M430" s="47" t="n"/>
      <c r="N430" s="48">
        <f>IF(A430="","",COUNTIFS(上课记录!$B:$B,A430,上课记录!$J:$J,"是"))</f>
        <v/>
      </c>
      <c r="O430" s="31">
        <f>IF(A430="","",IF(F430="次卡",MAX(0,M430-N430),"—"))</f>
        <v/>
      </c>
      <c r="P430" s="31">
        <f>IF(A430="","",IF(F430="期限卡",MAX(0,I430-TODAY()),"—"))</f>
        <v/>
      </c>
      <c r="Q430" s="31">
        <f>IF(A430="","",IF(F430="次卡",IF(OR(K430="",K430=0,M430=0),"",K430/M430),IF(F430="期限卡",IF(AND(K430&lt;&gt;"",K430&lt;&gt;0,I430&gt;H430),K430/(I430-H430),""),"")))</f>
        <v/>
      </c>
      <c r="R430" s="31">
        <f>IF(A430="","",IF(F430="次卡",IF(OR(K430="",K430=0,M430=0),"",Q430*O430),IF(F430="期限卡",IF(AND(K430&lt;&gt;"",K430&lt;&gt;0,I430&gt;H430),Q430*P430,""),"")))</f>
        <v/>
      </c>
      <c r="S430" s="58">
        <f>IF(A430="","",IFERROR(_xlfn.MAXIFS(上课记录!$D:$D,上课记录!$B:$B,A430,上课记录!$J:$J,"是"),""))</f>
        <v/>
      </c>
      <c r="T430" s="31">
        <f>IF(A430="","",IF(S430="","",TODAY()-S430))</f>
        <v/>
      </c>
      <c r="U430" s="31">
        <f>IF(A430="","",IF(OR(AND(F430="次卡",O430=0),AND(F430="期限卡",P430=0)),"已到期",IF(T430&gt;=10,"沉睡客户",IF(T430&gt;=7,"预警客户","正常"))))</f>
        <v/>
      </c>
      <c r="V430" s="11" t="n"/>
      <c r="W430" s="11" t="n"/>
    </row>
    <row r="431">
      <c r="A431" s="44" t="n"/>
      <c r="B431" s="11" t="n"/>
      <c r="C431" s="11" t="n"/>
      <c r="D431" s="11" t="n"/>
      <c r="E431" s="11" t="n"/>
      <c r="F431" s="11" t="n"/>
      <c r="G431" s="55" t="n"/>
      <c r="H431" s="55" t="n"/>
      <c r="I431" s="55" t="n"/>
      <c r="J431" s="11" t="n"/>
      <c r="K431" s="56" t="n"/>
      <c r="L431" s="46">
        <f>K431-J431</f>
        <v/>
      </c>
      <c r="M431" s="47" t="n"/>
      <c r="N431" s="48">
        <f>IF(A431="","",COUNTIFS(上课记录!$B:$B,A431,上课记录!$J:$J,"是"))</f>
        <v/>
      </c>
      <c r="O431" s="31">
        <f>IF(A431="","",IF(F431="次卡",MAX(0,M431-N431),"—"))</f>
        <v/>
      </c>
      <c r="P431" s="31">
        <f>IF(A431="","",IF(F431="期限卡",MAX(0,I431-TODAY()),"—"))</f>
        <v/>
      </c>
      <c r="Q431" s="31">
        <f>IF(A431="","",IF(F431="次卡",IF(OR(K431="",K431=0,M431=0),"",K431/M431),IF(F431="期限卡",IF(AND(K431&lt;&gt;"",K431&lt;&gt;0,I431&gt;H431),K431/(I431-H431),""),"")))</f>
        <v/>
      </c>
      <c r="R431" s="31">
        <f>IF(A431="","",IF(F431="次卡",IF(OR(K431="",K431=0,M431=0),"",Q431*O431),IF(F431="期限卡",IF(AND(K431&lt;&gt;"",K431&lt;&gt;0,I431&gt;H431),Q431*P431,""),"")))</f>
        <v/>
      </c>
      <c r="S431" s="58">
        <f>IF(A431="","",IFERROR(_xlfn.MAXIFS(上课记录!$D:$D,上课记录!$B:$B,A431,上课记录!$J:$J,"是"),""))</f>
        <v/>
      </c>
      <c r="T431" s="31">
        <f>IF(A431="","",IF(S431="","",TODAY()-S431))</f>
        <v/>
      </c>
      <c r="U431" s="31">
        <f>IF(A431="","",IF(OR(AND(F431="次卡",O431=0),AND(F431="期限卡",P431=0)),"已到期",IF(T431&gt;=10,"沉睡客户",IF(T431&gt;=7,"预警客户","正常"))))</f>
        <v/>
      </c>
      <c r="V431" s="11" t="n"/>
      <c r="W431" s="11" t="n"/>
    </row>
    <row r="432">
      <c r="A432" s="44" t="n"/>
      <c r="B432" s="11" t="n"/>
      <c r="C432" s="11" t="n"/>
      <c r="D432" s="11" t="n"/>
      <c r="E432" s="11" t="n"/>
      <c r="F432" s="11" t="n"/>
      <c r="G432" s="55" t="n"/>
      <c r="H432" s="55" t="n"/>
      <c r="I432" s="55" t="n"/>
      <c r="J432" s="11" t="n"/>
      <c r="K432" s="56" t="n"/>
      <c r="L432" s="46">
        <f>K432-J432</f>
        <v/>
      </c>
      <c r="M432" s="47" t="n"/>
      <c r="N432" s="48">
        <f>IF(A432="","",COUNTIFS(上课记录!$B:$B,A432,上课记录!$J:$J,"是"))</f>
        <v/>
      </c>
      <c r="O432" s="31">
        <f>IF(A432="","",IF(F432="次卡",MAX(0,M432-N432),"—"))</f>
        <v/>
      </c>
      <c r="P432" s="31">
        <f>IF(A432="","",IF(F432="期限卡",MAX(0,I432-TODAY()),"—"))</f>
        <v/>
      </c>
      <c r="Q432" s="31">
        <f>IF(A432="","",IF(F432="次卡",IF(OR(K432="",K432=0,M432=0),"",K432/M432),IF(F432="期限卡",IF(AND(K432&lt;&gt;"",K432&lt;&gt;0,I432&gt;H432),K432/(I432-H432),""),"")))</f>
        <v/>
      </c>
      <c r="R432" s="31">
        <f>IF(A432="","",IF(F432="次卡",IF(OR(K432="",K432=0,M432=0),"",Q432*O432),IF(F432="期限卡",IF(AND(K432&lt;&gt;"",K432&lt;&gt;0,I432&gt;H432),Q432*P432,""),"")))</f>
        <v/>
      </c>
      <c r="S432" s="58">
        <f>IF(A432="","",IFERROR(_xlfn.MAXIFS(上课记录!$D:$D,上课记录!$B:$B,A432,上课记录!$J:$J,"是"),""))</f>
        <v/>
      </c>
      <c r="T432" s="31">
        <f>IF(A432="","",IF(S432="","",TODAY()-S432))</f>
        <v/>
      </c>
      <c r="U432" s="31">
        <f>IF(A432="","",IF(OR(AND(F432="次卡",O432=0),AND(F432="期限卡",P432=0)),"已到期",IF(T432&gt;=10,"沉睡客户",IF(T432&gt;=7,"预警客户","正常"))))</f>
        <v/>
      </c>
      <c r="V432" s="11" t="n"/>
      <c r="W432" s="11" t="n"/>
    </row>
    <row r="433">
      <c r="A433" s="44" t="n"/>
      <c r="B433" s="11" t="n"/>
      <c r="C433" s="11" t="n"/>
      <c r="D433" s="11" t="n"/>
      <c r="E433" s="11" t="n"/>
      <c r="F433" s="11" t="n"/>
      <c r="G433" s="55" t="n"/>
      <c r="H433" s="55" t="n"/>
      <c r="I433" s="55" t="n"/>
      <c r="J433" s="11" t="n"/>
      <c r="K433" s="56" t="n"/>
      <c r="L433" s="46">
        <f>K433-J433</f>
        <v/>
      </c>
      <c r="M433" s="47" t="n"/>
      <c r="N433" s="48">
        <f>IF(A433="","",COUNTIFS(上课记录!$B:$B,A433,上课记录!$J:$J,"是"))</f>
        <v/>
      </c>
      <c r="O433" s="31">
        <f>IF(A433="","",IF(F433="次卡",MAX(0,M433-N433),"—"))</f>
        <v/>
      </c>
      <c r="P433" s="31">
        <f>IF(A433="","",IF(F433="期限卡",MAX(0,I433-TODAY()),"—"))</f>
        <v/>
      </c>
      <c r="Q433" s="31">
        <f>IF(A433="","",IF(F433="次卡",IF(OR(K433="",K433=0,M433=0),"",K433/M433),IF(F433="期限卡",IF(AND(K433&lt;&gt;"",K433&lt;&gt;0,I433&gt;H433),K433/(I433-H433),""),"")))</f>
        <v/>
      </c>
      <c r="R433" s="31">
        <f>IF(A433="","",IF(F433="次卡",IF(OR(K433="",K433=0,M433=0),"",Q433*O433),IF(F433="期限卡",IF(AND(K433&lt;&gt;"",K433&lt;&gt;0,I433&gt;H433),Q433*P433,""),"")))</f>
        <v/>
      </c>
      <c r="S433" s="58">
        <f>IF(A433="","",IFERROR(_xlfn.MAXIFS(上课记录!$D:$D,上课记录!$B:$B,A433,上课记录!$J:$J,"是"),""))</f>
        <v/>
      </c>
      <c r="T433" s="31">
        <f>IF(A433="","",IF(S433="","",TODAY()-S433))</f>
        <v/>
      </c>
      <c r="U433" s="31">
        <f>IF(A433="","",IF(OR(AND(F433="次卡",O433=0),AND(F433="期限卡",P433=0)),"已到期",IF(T433&gt;=10,"沉睡客户",IF(T433&gt;=7,"预警客户","正常"))))</f>
        <v/>
      </c>
      <c r="V433" s="11" t="n"/>
      <c r="W433" s="11" t="n"/>
    </row>
    <row r="434">
      <c r="A434" s="44" t="n"/>
      <c r="B434" s="11" t="n"/>
      <c r="C434" s="11" t="n"/>
      <c r="D434" s="11" t="n"/>
      <c r="E434" s="11" t="n"/>
      <c r="F434" s="11" t="n"/>
      <c r="G434" s="55" t="n"/>
      <c r="H434" s="55" t="n"/>
      <c r="I434" s="55" t="n"/>
      <c r="J434" s="11" t="n"/>
      <c r="K434" s="56" t="n"/>
      <c r="L434" s="46">
        <f>K434-J434</f>
        <v/>
      </c>
      <c r="M434" s="47" t="n"/>
      <c r="N434" s="48">
        <f>IF(A434="","",COUNTIFS(上课记录!$B:$B,A434,上课记录!$J:$J,"是"))</f>
        <v/>
      </c>
      <c r="O434" s="31">
        <f>IF(A434="","",IF(F434="次卡",MAX(0,M434-N434),"—"))</f>
        <v/>
      </c>
      <c r="P434" s="31">
        <f>IF(A434="","",IF(F434="期限卡",MAX(0,I434-TODAY()),"—"))</f>
        <v/>
      </c>
      <c r="Q434" s="31">
        <f>IF(A434="","",IF(F434="次卡",IF(OR(K434="",K434=0,M434=0),"",K434/M434),IF(F434="期限卡",IF(AND(K434&lt;&gt;"",K434&lt;&gt;0,I434&gt;H434),K434/(I434-H434),""),"")))</f>
        <v/>
      </c>
      <c r="R434" s="31">
        <f>IF(A434="","",IF(F434="次卡",IF(OR(K434="",K434=0,M434=0),"",Q434*O434),IF(F434="期限卡",IF(AND(K434&lt;&gt;"",K434&lt;&gt;0,I434&gt;H434),Q434*P434,""),"")))</f>
        <v/>
      </c>
      <c r="S434" s="58">
        <f>IF(A434="","",IFERROR(_xlfn.MAXIFS(上课记录!$D:$D,上课记录!$B:$B,A434,上课记录!$J:$J,"是"),""))</f>
        <v/>
      </c>
      <c r="T434" s="31">
        <f>IF(A434="","",IF(S434="","",TODAY()-S434))</f>
        <v/>
      </c>
      <c r="U434" s="31">
        <f>IF(A434="","",IF(OR(AND(F434="次卡",O434=0),AND(F434="期限卡",P434=0)),"已到期",IF(T434&gt;=10,"沉睡客户",IF(T434&gt;=7,"预警客户","正常"))))</f>
        <v/>
      </c>
      <c r="V434" s="11" t="n"/>
      <c r="W434" s="11" t="n"/>
    </row>
    <row r="435">
      <c r="A435" s="44" t="n"/>
      <c r="B435" s="11" t="n"/>
      <c r="C435" s="11" t="n"/>
      <c r="D435" s="11" t="n"/>
      <c r="E435" s="11" t="n"/>
      <c r="F435" s="11" t="n"/>
      <c r="G435" s="55" t="n"/>
      <c r="H435" s="55" t="n"/>
      <c r="I435" s="55" t="n"/>
      <c r="J435" s="11" t="n"/>
      <c r="K435" s="56" t="n"/>
      <c r="L435" s="46">
        <f>K435-J435</f>
        <v/>
      </c>
      <c r="M435" s="47" t="n"/>
      <c r="N435" s="48">
        <f>IF(A435="","",COUNTIFS(上课记录!$B:$B,A435,上课记录!$J:$J,"是"))</f>
        <v/>
      </c>
      <c r="O435" s="31">
        <f>IF(A435="","",IF(F435="次卡",MAX(0,M435-N435),"—"))</f>
        <v/>
      </c>
      <c r="P435" s="31">
        <f>IF(A435="","",IF(F435="期限卡",MAX(0,I435-TODAY()),"—"))</f>
        <v/>
      </c>
      <c r="Q435" s="31">
        <f>IF(A435="","",IF(F435="次卡",IF(OR(K435="",K435=0,M435=0),"",K435/M435),IF(F435="期限卡",IF(AND(K435&lt;&gt;"",K435&lt;&gt;0,I435&gt;H435),K435/(I435-H435),""),"")))</f>
        <v/>
      </c>
      <c r="R435" s="31">
        <f>IF(A435="","",IF(F435="次卡",IF(OR(K435="",K435=0,M435=0),"",Q435*O435),IF(F435="期限卡",IF(AND(K435&lt;&gt;"",K435&lt;&gt;0,I435&gt;H435),Q435*P435,""),"")))</f>
        <v/>
      </c>
      <c r="S435" s="58">
        <f>IF(A435="","",IFERROR(_xlfn.MAXIFS(上课记录!$D:$D,上课记录!$B:$B,A435,上课记录!$J:$J,"是"),""))</f>
        <v/>
      </c>
      <c r="T435" s="31">
        <f>IF(A435="","",IF(S435="","",TODAY()-S435))</f>
        <v/>
      </c>
      <c r="U435" s="31">
        <f>IF(A435="","",IF(OR(AND(F435="次卡",O435=0),AND(F435="期限卡",P435=0)),"已到期",IF(T435&gt;=10,"沉睡客户",IF(T435&gt;=7,"预警客户","正常"))))</f>
        <v/>
      </c>
      <c r="V435" s="11" t="n"/>
      <c r="W435" s="11" t="n"/>
    </row>
    <row r="436">
      <c r="A436" s="44" t="n"/>
      <c r="B436" s="11" t="n"/>
      <c r="C436" s="11" t="n"/>
      <c r="D436" s="11" t="n"/>
      <c r="E436" s="11" t="n"/>
      <c r="F436" s="11" t="n"/>
      <c r="G436" s="55" t="n"/>
      <c r="H436" s="55" t="n"/>
      <c r="I436" s="55" t="n"/>
      <c r="J436" s="11" t="n"/>
      <c r="K436" s="56" t="n"/>
      <c r="L436" s="46">
        <f>K436-J436</f>
        <v/>
      </c>
      <c r="M436" s="47" t="n"/>
      <c r="N436" s="48">
        <f>IF(A436="","",COUNTIFS(上课记录!$B:$B,A436,上课记录!$J:$J,"是"))</f>
        <v/>
      </c>
      <c r="O436" s="31">
        <f>IF(A436="","",IF(F436="次卡",MAX(0,M436-N436),"—"))</f>
        <v/>
      </c>
      <c r="P436" s="31">
        <f>IF(A436="","",IF(F436="期限卡",MAX(0,I436-TODAY()),"—"))</f>
        <v/>
      </c>
      <c r="Q436" s="31">
        <f>IF(A436="","",IF(F436="次卡",IF(OR(K436="",K436=0,M436=0),"",K436/M436),IF(F436="期限卡",IF(AND(K436&lt;&gt;"",K436&lt;&gt;0,I436&gt;H436),K436/(I436-H436),""),"")))</f>
        <v/>
      </c>
      <c r="R436" s="31">
        <f>IF(A436="","",IF(F436="次卡",IF(OR(K436="",K436=0,M436=0),"",Q436*O436),IF(F436="期限卡",IF(AND(K436&lt;&gt;"",K436&lt;&gt;0,I436&gt;H436),Q436*P436,""),"")))</f>
        <v/>
      </c>
      <c r="S436" s="58">
        <f>IF(A436="","",IFERROR(_xlfn.MAXIFS(上课记录!$D:$D,上课记录!$B:$B,A436,上课记录!$J:$J,"是"),""))</f>
        <v/>
      </c>
      <c r="T436" s="31">
        <f>IF(A436="","",IF(S436="","",TODAY()-S436))</f>
        <v/>
      </c>
      <c r="U436" s="31">
        <f>IF(A436="","",IF(OR(AND(F436="次卡",O436=0),AND(F436="期限卡",P436=0)),"已到期",IF(T436&gt;=10,"沉睡客户",IF(T436&gt;=7,"预警客户","正常"))))</f>
        <v/>
      </c>
      <c r="V436" s="11" t="n"/>
      <c r="W436" s="11" t="n"/>
    </row>
    <row r="437">
      <c r="A437" s="44" t="n"/>
      <c r="B437" s="11" t="n"/>
      <c r="C437" s="11" t="n"/>
      <c r="D437" s="11" t="n"/>
      <c r="E437" s="11" t="n"/>
      <c r="F437" s="11" t="n"/>
      <c r="G437" s="55" t="n"/>
      <c r="H437" s="55" t="n"/>
      <c r="I437" s="55" t="n"/>
      <c r="J437" s="11" t="n"/>
      <c r="K437" s="56" t="n"/>
      <c r="L437" s="46">
        <f>K437-J437</f>
        <v/>
      </c>
      <c r="M437" s="47" t="n"/>
      <c r="N437" s="48">
        <f>IF(A437="","",COUNTIFS(上课记录!$B:$B,A437,上课记录!$J:$J,"是"))</f>
        <v/>
      </c>
      <c r="O437" s="31">
        <f>IF(A437="","",IF(F437="次卡",MAX(0,M437-N437),"—"))</f>
        <v/>
      </c>
      <c r="P437" s="31">
        <f>IF(A437="","",IF(F437="期限卡",MAX(0,I437-TODAY()),"—"))</f>
        <v/>
      </c>
      <c r="Q437" s="31">
        <f>IF(A437="","",IF(F437="次卡",IF(OR(K437="",K437=0,M437=0),"",K437/M437),IF(F437="期限卡",IF(AND(K437&lt;&gt;"",K437&lt;&gt;0,I437&gt;H437),K437/(I437-H437),""),"")))</f>
        <v/>
      </c>
      <c r="R437" s="31">
        <f>IF(A437="","",IF(F437="次卡",IF(OR(K437="",K437=0,M437=0),"",Q437*O437),IF(F437="期限卡",IF(AND(K437&lt;&gt;"",K437&lt;&gt;0,I437&gt;H437),Q437*P437,""),"")))</f>
        <v/>
      </c>
      <c r="S437" s="58">
        <f>IF(A437="","",IFERROR(_xlfn.MAXIFS(上课记录!$D:$D,上课记录!$B:$B,A437,上课记录!$J:$J,"是"),""))</f>
        <v/>
      </c>
      <c r="T437" s="31">
        <f>IF(A437="","",IF(S437="","",TODAY()-S437))</f>
        <v/>
      </c>
      <c r="U437" s="31">
        <f>IF(A437="","",IF(OR(AND(F437="次卡",O437=0),AND(F437="期限卡",P437=0)),"已到期",IF(T437&gt;=10,"沉睡客户",IF(T437&gt;=7,"预警客户","正常"))))</f>
        <v/>
      </c>
      <c r="V437" s="11" t="n"/>
      <c r="W437" s="11" t="n"/>
    </row>
    <row r="438">
      <c r="A438" s="44" t="n"/>
      <c r="B438" s="11" t="n"/>
      <c r="C438" s="11" t="n"/>
      <c r="D438" s="11" t="n"/>
      <c r="E438" s="11" t="n"/>
      <c r="F438" s="11" t="n"/>
      <c r="G438" s="55" t="n"/>
      <c r="H438" s="55" t="n"/>
      <c r="I438" s="55" t="n"/>
      <c r="J438" s="11" t="n"/>
      <c r="K438" s="56" t="n"/>
      <c r="L438" s="46">
        <f>K438-J438</f>
        <v/>
      </c>
      <c r="M438" s="47" t="n"/>
      <c r="N438" s="48">
        <f>IF(A438="","",COUNTIFS(上课记录!$B:$B,A438,上课记录!$J:$J,"是"))</f>
        <v/>
      </c>
      <c r="O438" s="31">
        <f>IF(A438="","",IF(F438="次卡",MAX(0,M438-N438),"—"))</f>
        <v/>
      </c>
      <c r="P438" s="31">
        <f>IF(A438="","",IF(F438="期限卡",MAX(0,I438-TODAY()),"—"))</f>
        <v/>
      </c>
      <c r="Q438" s="31">
        <f>IF(A438="","",IF(F438="次卡",IF(OR(K438="",K438=0,M438=0),"",K438/M438),IF(F438="期限卡",IF(AND(K438&lt;&gt;"",K438&lt;&gt;0,I438&gt;H438),K438/(I438-H438),""),"")))</f>
        <v/>
      </c>
      <c r="R438" s="31">
        <f>IF(A438="","",IF(F438="次卡",IF(OR(K438="",K438=0,M438=0),"",Q438*O438),IF(F438="期限卡",IF(AND(K438&lt;&gt;"",K438&lt;&gt;0,I438&gt;H438),Q438*P438,""),"")))</f>
        <v/>
      </c>
      <c r="S438" s="58">
        <f>IF(A438="","",IFERROR(_xlfn.MAXIFS(上课记录!$D:$D,上课记录!$B:$B,A438,上课记录!$J:$J,"是"),""))</f>
        <v/>
      </c>
      <c r="T438" s="31">
        <f>IF(A438="","",IF(S438="","",TODAY()-S438))</f>
        <v/>
      </c>
      <c r="U438" s="31">
        <f>IF(A438="","",IF(OR(AND(F438="次卡",O438=0),AND(F438="期限卡",P438=0)),"已到期",IF(T438&gt;=10,"沉睡客户",IF(T438&gt;=7,"预警客户","正常"))))</f>
        <v/>
      </c>
      <c r="V438" s="11" t="n"/>
      <c r="W438" s="11" t="n"/>
    </row>
    <row r="439">
      <c r="A439" s="44" t="n"/>
      <c r="B439" s="11" t="n"/>
      <c r="C439" s="11" t="n"/>
      <c r="D439" s="11" t="n"/>
      <c r="E439" s="11" t="n"/>
      <c r="F439" s="11" t="n"/>
      <c r="G439" s="55" t="n"/>
      <c r="H439" s="55" t="n"/>
      <c r="I439" s="55" t="n"/>
      <c r="J439" s="11" t="n"/>
      <c r="K439" s="56" t="n"/>
      <c r="L439" s="46">
        <f>K439-J439</f>
        <v/>
      </c>
      <c r="M439" s="47" t="n"/>
      <c r="N439" s="48">
        <f>IF(A439="","",COUNTIFS(上课记录!$B:$B,A439,上课记录!$J:$J,"是"))</f>
        <v/>
      </c>
      <c r="O439" s="31">
        <f>IF(A439="","",IF(F439="次卡",MAX(0,M439-N439),"—"))</f>
        <v/>
      </c>
      <c r="P439" s="31">
        <f>IF(A439="","",IF(F439="期限卡",MAX(0,I439-TODAY()),"—"))</f>
        <v/>
      </c>
      <c r="Q439" s="31">
        <f>IF(A439="","",IF(F439="次卡",IF(OR(K439="",K439=0,M439=0),"",K439/M439),IF(F439="期限卡",IF(AND(K439&lt;&gt;"",K439&lt;&gt;0,I439&gt;H439),K439/(I439-H439),""),"")))</f>
        <v/>
      </c>
      <c r="R439" s="31">
        <f>IF(A439="","",IF(F439="次卡",IF(OR(K439="",K439=0,M439=0),"",Q439*O439),IF(F439="期限卡",IF(AND(K439&lt;&gt;"",K439&lt;&gt;0,I439&gt;H439),Q439*P439,""),"")))</f>
        <v/>
      </c>
      <c r="S439" s="58">
        <f>IF(A439="","",IFERROR(_xlfn.MAXIFS(上课记录!$D:$D,上课记录!$B:$B,A439,上课记录!$J:$J,"是"),""))</f>
        <v/>
      </c>
      <c r="T439" s="31">
        <f>IF(A439="","",IF(S439="","",TODAY()-S439))</f>
        <v/>
      </c>
      <c r="U439" s="31">
        <f>IF(A439="","",IF(OR(AND(F439="次卡",O439=0),AND(F439="期限卡",P439=0)),"已到期",IF(T439&gt;=10,"沉睡客户",IF(T439&gt;=7,"预警客户","正常"))))</f>
        <v/>
      </c>
      <c r="V439" s="11" t="n"/>
      <c r="W439" s="11" t="n"/>
    </row>
    <row r="440">
      <c r="A440" s="44" t="n"/>
      <c r="B440" s="11" t="n"/>
      <c r="C440" s="11" t="n"/>
      <c r="D440" s="11" t="n"/>
      <c r="E440" s="11" t="n"/>
      <c r="F440" s="11" t="n"/>
      <c r="G440" s="55" t="n"/>
      <c r="H440" s="55" t="n"/>
      <c r="I440" s="55" t="n"/>
      <c r="J440" s="11" t="n"/>
      <c r="K440" s="56" t="n"/>
      <c r="L440" s="46">
        <f>K440-J440</f>
        <v/>
      </c>
      <c r="M440" s="47" t="n"/>
      <c r="N440" s="48">
        <f>IF(A440="","",COUNTIFS(上课记录!$B:$B,A440,上课记录!$J:$J,"是"))</f>
        <v/>
      </c>
      <c r="O440" s="31">
        <f>IF(A440="","",IF(F440="次卡",MAX(0,M440-N440),"—"))</f>
        <v/>
      </c>
      <c r="P440" s="31">
        <f>IF(A440="","",IF(F440="期限卡",MAX(0,I440-TODAY()),"—"))</f>
        <v/>
      </c>
      <c r="Q440" s="31">
        <f>IF(A440="","",IF(F440="次卡",IF(OR(K440="",K440=0,M440=0),"",K440/M440),IF(F440="期限卡",IF(AND(K440&lt;&gt;"",K440&lt;&gt;0,I440&gt;H440),K440/(I440-H440),""),"")))</f>
        <v/>
      </c>
      <c r="R440" s="31">
        <f>IF(A440="","",IF(F440="次卡",IF(OR(K440="",K440=0,M440=0),"",Q440*O440),IF(F440="期限卡",IF(AND(K440&lt;&gt;"",K440&lt;&gt;0,I440&gt;H440),Q440*P440,""),"")))</f>
        <v/>
      </c>
      <c r="S440" s="58">
        <f>IF(A440="","",IFERROR(_xlfn.MAXIFS(上课记录!$D:$D,上课记录!$B:$B,A440,上课记录!$J:$J,"是"),""))</f>
        <v/>
      </c>
      <c r="T440" s="31">
        <f>IF(A440="","",IF(S440="","",TODAY()-S440))</f>
        <v/>
      </c>
      <c r="U440" s="31">
        <f>IF(A440="","",IF(OR(AND(F440="次卡",O440=0),AND(F440="期限卡",P440=0)),"已到期",IF(T440&gt;=10,"沉睡客户",IF(T440&gt;=7,"预警客户","正常"))))</f>
        <v/>
      </c>
      <c r="V440" s="11" t="n"/>
      <c r="W440" s="11" t="n"/>
    </row>
    <row r="441">
      <c r="A441" s="44" t="n"/>
      <c r="B441" s="11" t="n"/>
      <c r="C441" s="11" t="n"/>
      <c r="D441" s="11" t="n"/>
      <c r="E441" s="11" t="n"/>
      <c r="F441" s="11" t="n"/>
      <c r="G441" s="55" t="n"/>
      <c r="H441" s="55" t="n"/>
      <c r="I441" s="55" t="n"/>
      <c r="J441" s="11" t="n"/>
      <c r="K441" s="56" t="n"/>
      <c r="L441" s="46">
        <f>K441-J441</f>
        <v/>
      </c>
      <c r="M441" s="47" t="n"/>
      <c r="N441" s="48">
        <f>IF(A441="","",COUNTIFS(上课记录!$B:$B,A441,上课记录!$J:$J,"是"))</f>
        <v/>
      </c>
      <c r="O441" s="31">
        <f>IF(A441="","",IF(F441="次卡",MAX(0,M441-N441),"—"))</f>
        <v/>
      </c>
      <c r="P441" s="31">
        <f>IF(A441="","",IF(F441="期限卡",MAX(0,I441-TODAY()),"—"))</f>
        <v/>
      </c>
      <c r="Q441" s="31">
        <f>IF(A441="","",IF(F441="次卡",IF(OR(K441="",K441=0,M441=0),"",K441/M441),IF(F441="期限卡",IF(AND(K441&lt;&gt;"",K441&lt;&gt;0,I441&gt;H441),K441/(I441-H441),""),"")))</f>
        <v/>
      </c>
      <c r="R441" s="31">
        <f>IF(A441="","",IF(F441="次卡",IF(OR(K441="",K441=0,M441=0),"",Q441*O441),IF(F441="期限卡",IF(AND(K441&lt;&gt;"",K441&lt;&gt;0,I441&gt;H441),Q441*P441,""),"")))</f>
        <v/>
      </c>
      <c r="S441" s="58">
        <f>IF(A441="","",IFERROR(_xlfn.MAXIFS(上课记录!$D:$D,上课记录!$B:$B,A441,上课记录!$J:$J,"是"),""))</f>
        <v/>
      </c>
      <c r="T441" s="31">
        <f>IF(A441="","",IF(S441="","",TODAY()-S441))</f>
        <v/>
      </c>
      <c r="U441" s="31">
        <f>IF(A441="","",IF(OR(AND(F441="次卡",O441=0),AND(F441="期限卡",P441=0)),"已到期",IF(T441&gt;=10,"沉睡客户",IF(T441&gt;=7,"预警客户","正常"))))</f>
        <v/>
      </c>
      <c r="V441" s="11" t="n"/>
      <c r="W441" s="11" t="n"/>
    </row>
    <row r="442">
      <c r="A442" s="44" t="n"/>
      <c r="B442" s="11" t="n"/>
      <c r="C442" s="11" t="n"/>
      <c r="D442" s="11" t="n"/>
      <c r="E442" s="11" t="n"/>
      <c r="F442" s="11" t="n"/>
      <c r="G442" s="55" t="n"/>
      <c r="H442" s="55" t="n"/>
      <c r="I442" s="55" t="n"/>
      <c r="J442" s="11" t="n"/>
      <c r="K442" s="56" t="n"/>
      <c r="L442" s="46">
        <f>K442-J442</f>
        <v/>
      </c>
      <c r="M442" s="47" t="n"/>
      <c r="N442" s="48">
        <f>IF(A442="","",COUNTIFS(上课记录!$B:$B,A442,上课记录!$J:$J,"是"))</f>
        <v/>
      </c>
      <c r="O442" s="31">
        <f>IF(A442="","",IF(F442="次卡",MAX(0,M442-N442),"—"))</f>
        <v/>
      </c>
      <c r="P442" s="31">
        <f>IF(A442="","",IF(F442="期限卡",MAX(0,I442-TODAY()),"—"))</f>
        <v/>
      </c>
      <c r="Q442" s="31">
        <f>IF(A442="","",IF(F442="次卡",IF(OR(K442="",K442=0,M442=0),"",K442/M442),IF(F442="期限卡",IF(AND(K442&lt;&gt;"",K442&lt;&gt;0,I442&gt;H442),K442/(I442-H442),""),"")))</f>
        <v/>
      </c>
      <c r="R442" s="31">
        <f>IF(A442="","",IF(F442="次卡",IF(OR(K442="",K442=0,M442=0),"",Q442*O442),IF(F442="期限卡",IF(AND(K442&lt;&gt;"",K442&lt;&gt;0,I442&gt;H442),Q442*P442,""),"")))</f>
        <v/>
      </c>
      <c r="S442" s="58">
        <f>IF(A442="","",IFERROR(_xlfn.MAXIFS(上课记录!$D:$D,上课记录!$B:$B,A442,上课记录!$J:$J,"是"),""))</f>
        <v/>
      </c>
      <c r="T442" s="31">
        <f>IF(A442="","",IF(S442="","",TODAY()-S442))</f>
        <v/>
      </c>
      <c r="U442" s="31">
        <f>IF(A442="","",IF(OR(AND(F442="次卡",O442=0),AND(F442="期限卡",P442=0)),"已到期",IF(T442&gt;=10,"沉睡客户",IF(T442&gt;=7,"预警客户","正常"))))</f>
        <v/>
      </c>
      <c r="V442" s="11" t="n"/>
      <c r="W442" s="11" t="n"/>
    </row>
    <row r="443">
      <c r="A443" s="44" t="n"/>
      <c r="B443" s="11" t="n"/>
      <c r="C443" s="11" t="n"/>
      <c r="D443" s="11" t="n"/>
      <c r="E443" s="11" t="n"/>
      <c r="F443" s="11" t="n"/>
      <c r="G443" s="55" t="n"/>
      <c r="H443" s="55" t="n"/>
      <c r="I443" s="55" t="n"/>
      <c r="J443" s="11" t="n"/>
      <c r="K443" s="56" t="n"/>
      <c r="L443" s="46">
        <f>K443-J443</f>
        <v/>
      </c>
      <c r="M443" s="47" t="n"/>
      <c r="N443" s="48">
        <f>IF(A443="","",COUNTIFS(上课记录!$B:$B,A443,上课记录!$J:$J,"是"))</f>
        <v/>
      </c>
      <c r="O443" s="31">
        <f>IF(A443="","",IF(F443="次卡",MAX(0,M443-N443),"—"))</f>
        <v/>
      </c>
      <c r="P443" s="31">
        <f>IF(A443="","",IF(F443="期限卡",MAX(0,I443-TODAY()),"—"))</f>
        <v/>
      </c>
      <c r="Q443" s="31">
        <f>IF(A443="","",IF(F443="次卡",IF(OR(K443="",K443=0,M443=0),"",K443/M443),IF(F443="期限卡",IF(AND(K443&lt;&gt;"",K443&lt;&gt;0,I443&gt;H443),K443/(I443-H443),""),"")))</f>
        <v/>
      </c>
      <c r="R443" s="31">
        <f>IF(A443="","",IF(F443="次卡",IF(OR(K443="",K443=0,M443=0),"",Q443*O443),IF(F443="期限卡",IF(AND(K443&lt;&gt;"",K443&lt;&gt;0,I443&gt;H443),Q443*P443,""),"")))</f>
        <v/>
      </c>
      <c r="S443" s="58">
        <f>IF(A443="","",IFERROR(_xlfn.MAXIFS(上课记录!$D:$D,上课记录!$B:$B,A443,上课记录!$J:$J,"是"),""))</f>
        <v/>
      </c>
      <c r="T443" s="31">
        <f>IF(A443="","",IF(S443="","",TODAY()-S443))</f>
        <v/>
      </c>
      <c r="U443" s="31">
        <f>IF(A443="","",IF(OR(AND(F443="次卡",O443=0),AND(F443="期限卡",P443=0)),"已到期",IF(T443&gt;=10,"沉睡客户",IF(T443&gt;=7,"预警客户","正常"))))</f>
        <v/>
      </c>
      <c r="V443" s="11" t="n"/>
      <c r="W443" s="11" t="n"/>
    </row>
    <row r="444">
      <c r="A444" s="44" t="n"/>
      <c r="B444" s="11" t="n"/>
      <c r="C444" s="11" t="n"/>
      <c r="D444" s="11" t="n"/>
      <c r="E444" s="11" t="n"/>
      <c r="F444" s="11" t="n"/>
      <c r="G444" s="55" t="n"/>
      <c r="H444" s="55" t="n"/>
      <c r="I444" s="55" t="n"/>
      <c r="J444" s="11" t="n"/>
      <c r="K444" s="56" t="n"/>
      <c r="L444" s="46">
        <f>K444-J444</f>
        <v/>
      </c>
      <c r="M444" s="47" t="n"/>
      <c r="N444" s="48">
        <f>IF(A444="","",COUNTIFS(上课记录!$B:$B,A444,上课记录!$J:$J,"是"))</f>
        <v/>
      </c>
      <c r="O444" s="31">
        <f>IF(A444="","",IF(F444="次卡",MAX(0,M444-N444),"—"))</f>
        <v/>
      </c>
      <c r="P444" s="31">
        <f>IF(A444="","",IF(F444="期限卡",MAX(0,I444-TODAY()),"—"))</f>
        <v/>
      </c>
      <c r="Q444" s="31">
        <f>IF(A444="","",IF(F444="次卡",IF(OR(K444="",K444=0,M444=0),"",K444/M444),IF(F444="期限卡",IF(AND(K444&lt;&gt;"",K444&lt;&gt;0,I444&gt;H444),K444/(I444-H444),""),"")))</f>
        <v/>
      </c>
      <c r="R444" s="31">
        <f>IF(A444="","",IF(F444="次卡",IF(OR(K444="",K444=0,M444=0),"",Q444*O444),IF(F444="期限卡",IF(AND(K444&lt;&gt;"",K444&lt;&gt;0,I444&gt;H444),Q444*P444,""),"")))</f>
        <v/>
      </c>
      <c r="S444" s="58">
        <f>IF(A444="","",IFERROR(_xlfn.MAXIFS(上课记录!$D:$D,上课记录!$B:$B,A444,上课记录!$J:$J,"是"),""))</f>
        <v/>
      </c>
      <c r="T444" s="31">
        <f>IF(A444="","",IF(S444="","",TODAY()-S444))</f>
        <v/>
      </c>
      <c r="U444" s="31">
        <f>IF(A444="","",IF(OR(AND(F444="次卡",O444=0),AND(F444="期限卡",P444=0)),"已到期",IF(T444&gt;=10,"沉睡客户",IF(T444&gt;=7,"预警客户","正常"))))</f>
        <v/>
      </c>
      <c r="V444" s="11" t="n"/>
      <c r="W444" s="11" t="n"/>
    </row>
    <row r="445">
      <c r="A445" s="44" t="n"/>
      <c r="B445" s="11" t="n"/>
      <c r="C445" s="11" t="n"/>
      <c r="D445" s="11" t="n"/>
      <c r="E445" s="11" t="n"/>
      <c r="F445" s="11" t="n"/>
      <c r="G445" s="55" t="n"/>
      <c r="H445" s="55" t="n"/>
      <c r="I445" s="55" t="n"/>
      <c r="J445" s="11" t="n"/>
      <c r="K445" s="56" t="n"/>
      <c r="L445" s="46">
        <f>K445-J445</f>
        <v/>
      </c>
      <c r="M445" s="47" t="n"/>
      <c r="N445" s="48">
        <f>IF(A445="","",COUNTIFS(上课记录!$B:$B,A445,上课记录!$J:$J,"是"))</f>
        <v/>
      </c>
      <c r="O445" s="31">
        <f>IF(A445="","",IF(F445="次卡",MAX(0,M445-N445),"—"))</f>
        <v/>
      </c>
      <c r="P445" s="31">
        <f>IF(A445="","",IF(F445="期限卡",MAX(0,I445-TODAY()),"—"))</f>
        <v/>
      </c>
      <c r="Q445" s="31">
        <f>IF(A445="","",IF(F445="次卡",IF(OR(K445="",K445=0,M445=0),"",K445/M445),IF(F445="期限卡",IF(AND(K445&lt;&gt;"",K445&lt;&gt;0,I445&gt;H445),K445/(I445-H445),""),"")))</f>
        <v/>
      </c>
      <c r="R445" s="31">
        <f>IF(A445="","",IF(F445="次卡",IF(OR(K445="",K445=0,M445=0),"",Q445*O445),IF(F445="期限卡",IF(AND(K445&lt;&gt;"",K445&lt;&gt;0,I445&gt;H445),Q445*P445,""),"")))</f>
        <v/>
      </c>
      <c r="S445" s="58">
        <f>IF(A445="","",IFERROR(_xlfn.MAXIFS(上课记录!$D:$D,上课记录!$B:$B,A445,上课记录!$J:$J,"是"),""))</f>
        <v/>
      </c>
      <c r="T445" s="31">
        <f>IF(A445="","",IF(S445="","",TODAY()-S445))</f>
        <v/>
      </c>
      <c r="U445" s="31">
        <f>IF(A445="","",IF(OR(AND(F445="次卡",O445=0),AND(F445="期限卡",P445=0)),"已到期",IF(T445&gt;=10,"沉睡客户",IF(T445&gt;=7,"预警客户","正常"))))</f>
        <v/>
      </c>
      <c r="V445" s="11" t="n"/>
      <c r="W445" s="11" t="n"/>
    </row>
    <row r="446">
      <c r="A446" s="44" t="n"/>
      <c r="B446" s="11" t="n"/>
      <c r="C446" s="11" t="n"/>
      <c r="D446" s="11" t="n"/>
      <c r="E446" s="11" t="n"/>
      <c r="F446" s="11" t="n"/>
      <c r="G446" s="55" t="n"/>
      <c r="H446" s="55" t="n"/>
      <c r="I446" s="55" t="n"/>
      <c r="J446" s="11" t="n"/>
      <c r="K446" s="56" t="n"/>
      <c r="L446" s="46">
        <f>K446-J446</f>
        <v/>
      </c>
      <c r="M446" s="47" t="n"/>
      <c r="N446" s="48">
        <f>IF(A446="","",COUNTIFS(上课记录!$B:$B,A446,上课记录!$J:$J,"是"))</f>
        <v/>
      </c>
      <c r="O446" s="31">
        <f>IF(A446="","",IF(F446="次卡",MAX(0,M446-N446),"—"))</f>
        <v/>
      </c>
      <c r="P446" s="31">
        <f>IF(A446="","",IF(F446="期限卡",MAX(0,I446-TODAY()),"—"))</f>
        <v/>
      </c>
      <c r="Q446" s="31">
        <f>IF(A446="","",IF(F446="次卡",IF(OR(K446="",K446=0,M446=0),"",K446/M446),IF(F446="期限卡",IF(AND(K446&lt;&gt;"",K446&lt;&gt;0,I446&gt;H446),K446/(I446-H446),""),"")))</f>
        <v/>
      </c>
      <c r="R446" s="31">
        <f>IF(A446="","",IF(F446="次卡",IF(OR(K446="",K446=0,M446=0),"",Q446*O446),IF(F446="期限卡",IF(AND(K446&lt;&gt;"",K446&lt;&gt;0,I446&gt;H446),Q446*P446,""),"")))</f>
        <v/>
      </c>
      <c r="S446" s="58">
        <f>IF(A446="","",IFERROR(_xlfn.MAXIFS(上课记录!$D:$D,上课记录!$B:$B,A446,上课记录!$J:$J,"是"),""))</f>
        <v/>
      </c>
      <c r="T446" s="31">
        <f>IF(A446="","",IF(S446="","",TODAY()-S446))</f>
        <v/>
      </c>
      <c r="U446" s="31">
        <f>IF(A446="","",IF(OR(AND(F446="次卡",O446=0),AND(F446="期限卡",P446=0)),"已到期",IF(T446&gt;=10,"沉睡客户",IF(T446&gt;=7,"预警客户","正常"))))</f>
        <v/>
      </c>
      <c r="V446" s="11" t="n"/>
      <c r="W446" s="11" t="n"/>
    </row>
    <row r="447">
      <c r="A447" s="44" t="n"/>
      <c r="B447" s="11" t="n"/>
      <c r="C447" s="11" t="n"/>
      <c r="D447" s="11" t="n"/>
      <c r="E447" s="11" t="n"/>
      <c r="F447" s="11" t="n"/>
      <c r="G447" s="55" t="n"/>
      <c r="H447" s="55" t="n"/>
      <c r="I447" s="55" t="n"/>
      <c r="J447" s="11" t="n"/>
      <c r="K447" s="56" t="n"/>
      <c r="L447" s="46">
        <f>K447-J447</f>
        <v/>
      </c>
      <c r="M447" s="47" t="n"/>
      <c r="N447" s="48">
        <f>IF(A447="","",COUNTIFS(上课记录!$B:$B,A447,上课记录!$J:$J,"是"))</f>
        <v/>
      </c>
      <c r="O447" s="31">
        <f>IF(A447="","",IF(F447="次卡",MAX(0,M447-N447),"—"))</f>
        <v/>
      </c>
      <c r="P447" s="31">
        <f>IF(A447="","",IF(F447="期限卡",MAX(0,I447-TODAY()),"—"))</f>
        <v/>
      </c>
      <c r="Q447" s="31">
        <f>IF(A447="","",IF(F447="次卡",IF(OR(K447="",K447=0,M447=0),"",K447/M447),IF(F447="期限卡",IF(AND(K447&lt;&gt;"",K447&lt;&gt;0,I447&gt;H447),K447/(I447-H447),""),"")))</f>
        <v/>
      </c>
      <c r="R447" s="31">
        <f>IF(A447="","",IF(F447="次卡",IF(OR(K447="",K447=0,M447=0),"",Q447*O447),IF(F447="期限卡",IF(AND(K447&lt;&gt;"",K447&lt;&gt;0,I447&gt;H447),Q447*P447,""),"")))</f>
        <v/>
      </c>
      <c r="S447" s="58">
        <f>IF(A447="","",IFERROR(_xlfn.MAXIFS(上课记录!$D:$D,上课记录!$B:$B,A447,上课记录!$J:$J,"是"),""))</f>
        <v/>
      </c>
      <c r="T447" s="31">
        <f>IF(A447="","",IF(S447="","",TODAY()-S447))</f>
        <v/>
      </c>
      <c r="U447" s="31">
        <f>IF(A447="","",IF(OR(AND(F447="次卡",O447=0),AND(F447="期限卡",P447=0)),"已到期",IF(T447&gt;=10,"沉睡客户",IF(T447&gt;=7,"预警客户","正常"))))</f>
        <v/>
      </c>
      <c r="V447" s="11" t="n"/>
      <c r="W447" s="11" t="n"/>
    </row>
    <row r="448">
      <c r="A448" s="44" t="n"/>
      <c r="B448" s="11" t="n"/>
      <c r="C448" s="11" t="n"/>
      <c r="D448" s="11" t="n"/>
      <c r="E448" s="11" t="n"/>
      <c r="F448" s="11" t="n"/>
      <c r="G448" s="55" t="n"/>
      <c r="H448" s="55" t="n"/>
      <c r="I448" s="55" t="n"/>
      <c r="J448" s="11" t="n"/>
      <c r="K448" s="56" t="n"/>
      <c r="L448" s="46">
        <f>K448-J448</f>
        <v/>
      </c>
      <c r="M448" s="47" t="n"/>
      <c r="N448" s="48">
        <f>IF(A448="","",COUNTIFS(上课记录!$B:$B,A448,上课记录!$J:$J,"是"))</f>
        <v/>
      </c>
      <c r="O448" s="31">
        <f>IF(A448="","",IF(F448="次卡",MAX(0,M448-N448),"—"))</f>
        <v/>
      </c>
      <c r="P448" s="31">
        <f>IF(A448="","",IF(F448="期限卡",MAX(0,I448-TODAY()),"—"))</f>
        <v/>
      </c>
      <c r="Q448" s="31">
        <f>IF(A448="","",IF(F448="次卡",IF(OR(K448="",K448=0,M448=0),"",K448/M448),IF(F448="期限卡",IF(AND(K448&lt;&gt;"",K448&lt;&gt;0,I448&gt;H448),K448/(I448-H448),""),"")))</f>
        <v/>
      </c>
      <c r="R448" s="31">
        <f>IF(A448="","",IF(F448="次卡",IF(OR(K448="",K448=0,M448=0),"",Q448*O448),IF(F448="期限卡",IF(AND(K448&lt;&gt;"",K448&lt;&gt;0,I448&gt;H448),Q448*P448,""),"")))</f>
        <v/>
      </c>
      <c r="S448" s="58">
        <f>IF(A448="","",IFERROR(_xlfn.MAXIFS(上课记录!$D:$D,上课记录!$B:$B,A448,上课记录!$J:$J,"是"),""))</f>
        <v/>
      </c>
      <c r="T448" s="31">
        <f>IF(A448="","",IF(S448="","",TODAY()-S448))</f>
        <v/>
      </c>
      <c r="U448" s="31">
        <f>IF(A448="","",IF(OR(AND(F448="次卡",O448=0),AND(F448="期限卡",P448=0)),"已到期",IF(T448&gt;=10,"沉睡客户",IF(T448&gt;=7,"预警客户","正常"))))</f>
        <v/>
      </c>
      <c r="V448" s="11" t="n"/>
      <c r="W448" s="11" t="n"/>
    </row>
    <row r="449">
      <c r="A449" s="44" t="n"/>
      <c r="B449" s="11" t="n"/>
      <c r="C449" s="11" t="n"/>
      <c r="D449" s="11" t="n"/>
      <c r="E449" s="11" t="n"/>
      <c r="F449" s="11" t="n"/>
      <c r="G449" s="55" t="n"/>
      <c r="H449" s="55" t="n"/>
      <c r="I449" s="55" t="n"/>
      <c r="J449" s="11" t="n"/>
      <c r="K449" s="56" t="n"/>
      <c r="L449" s="46">
        <f>K449-J449</f>
        <v/>
      </c>
      <c r="M449" s="47" t="n"/>
      <c r="N449" s="48">
        <f>IF(A449="","",COUNTIFS(上课记录!$B:$B,A449,上课记录!$J:$J,"是"))</f>
        <v/>
      </c>
      <c r="O449" s="31">
        <f>IF(A449="","",IF(F449="次卡",MAX(0,M449-N449),"—"))</f>
        <v/>
      </c>
      <c r="P449" s="31">
        <f>IF(A449="","",IF(F449="期限卡",MAX(0,I449-TODAY()),"—"))</f>
        <v/>
      </c>
      <c r="Q449" s="31">
        <f>IF(A449="","",IF(F449="次卡",IF(OR(K449="",K449=0,M449=0),"",K449/M449),IF(F449="期限卡",IF(AND(K449&lt;&gt;"",K449&lt;&gt;0,I449&gt;H449),K449/(I449-H449),""),"")))</f>
        <v/>
      </c>
      <c r="R449" s="31">
        <f>IF(A449="","",IF(F449="次卡",IF(OR(K449="",K449=0,M449=0),"",Q449*O449),IF(F449="期限卡",IF(AND(K449&lt;&gt;"",K449&lt;&gt;0,I449&gt;H449),Q449*P449,""),"")))</f>
        <v/>
      </c>
      <c r="S449" s="58">
        <f>IF(A449="","",IFERROR(_xlfn.MAXIFS(上课记录!$D:$D,上课记录!$B:$B,A449,上课记录!$J:$J,"是"),""))</f>
        <v/>
      </c>
      <c r="T449" s="31">
        <f>IF(A449="","",IF(S449="","",TODAY()-S449))</f>
        <v/>
      </c>
      <c r="U449" s="31">
        <f>IF(A449="","",IF(OR(AND(F449="次卡",O449=0),AND(F449="期限卡",P449=0)),"已到期",IF(T449&gt;=10,"沉睡客户",IF(T449&gt;=7,"预警客户","正常"))))</f>
        <v/>
      </c>
      <c r="V449" s="11" t="n"/>
      <c r="W449" s="11" t="n"/>
    </row>
    <row r="450">
      <c r="A450" s="44" t="n"/>
      <c r="B450" s="11" t="n"/>
      <c r="C450" s="11" t="n"/>
      <c r="D450" s="11" t="n"/>
      <c r="E450" s="11" t="n"/>
      <c r="F450" s="11" t="n"/>
      <c r="G450" s="55" t="n"/>
      <c r="H450" s="55" t="n"/>
      <c r="I450" s="55" t="n"/>
      <c r="J450" s="11" t="n"/>
      <c r="K450" s="56" t="n"/>
      <c r="L450" s="46">
        <f>K450-J450</f>
        <v/>
      </c>
      <c r="M450" s="47" t="n"/>
      <c r="N450" s="48">
        <f>IF(A450="","",COUNTIFS(上课记录!$B:$B,A450,上课记录!$J:$J,"是"))</f>
        <v/>
      </c>
      <c r="O450" s="31">
        <f>IF(A450="","",IF(F450="次卡",MAX(0,M450-N450),"—"))</f>
        <v/>
      </c>
      <c r="P450" s="31">
        <f>IF(A450="","",IF(F450="期限卡",MAX(0,I450-TODAY()),"—"))</f>
        <v/>
      </c>
      <c r="Q450" s="31">
        <f>IF(A450="","",IF(F450="次卡",IF(OR(K450="",K450=0,M450=0),"",K450/M450),IF(F450="期限卡",IF(AND(K450&lt;&gt;"",K450&lt;&gt;0,I450&gt;H450),K450/(I450-H450),""),"")))</f>
        <v/>
      </c>
      <c r="R450" s="31">
        <f>IF(A450="","",IF(F450="次卡",IF(OR(K450="",K450=0,M450=0),"",Q450*O450),IF(F450="期限卡",IF(AND(K450&lt;&gt;"",K450&lt;&gt;0,I450&gt;H450),Q450*P450,""),"")))</f>
        <v/>
      </c>
      <c r="S450" s="58">
        <f>IF(A450="","",IFERROR(_xlfn.MAXIFS(上课记录!$D:$D,上课记录!$B:$B,A450,上课记录!$J:$J,"是"),""))</f>
        <v/>
      </c>
      <c r="T450" s="31">
        <f>IF(A450="","",IF(S450="","",TODAY()-S450))</f>
        <v/>
      </c>
      <c r="U450" s="31">
        <f>IF(A450="","",IF(OR(AND(F450="次卡",O450=0),AND(F450="期限卡",P450=0)),"已到期",IF(T450&gt;=10,"沉睡客户",IF(T450&gt;=7,"预警客户","正常"))))</f>
        <v/>
      </c>
      <c r="V450" s="11" t="n"/>
      <c r="W450" s="11" t="n"/>
    </row>
    <row r="451">
      <c r="A451" s="44" t="n"/>
      <c r="B451" s="11" t="n"/>
      <c r="C451" s="11" t="n"/>
      <c r="D451" s="11" t="n"/>
      <c r="E451" s="11" t="n"/>
      <c r="F451" s="11" t="n"/>
      <c r="G451" s="55" t="n"/>
      <c r="H451" s="55" t="n"/>
      <c r="I451" s="55" t="n"/>
      <c r="J451" s="11" t="n"/>
      <c r="K451" s="56" t="n"/>
      <c r="L451" s="46">
        <f>K451-J451</f>
        <v/>
      </c>
      <c r="M451" s="47" t="n"/>
      <c r="N451" s="48">
        <f>IF(A451="","",COUNTIFS(上课记录!$B:$B,A451,上课记录!$J:$J,"是"))</f>
        <v/>
      </c>
      <c r="O451" s="31">
        <f>IF(A451="","",IF(F451="次卡",MAX(0,M451-N451),"—"))</f>
        <v/>
      </c>
      <c r="P451" s="31">
        <f>IF(A451="","",IF(F451="期限卡",MAX(0,I451-TODAY()),"—"))</f>
        <v/>
      </c>
      <c r="Q451" s="31">
        <f>IF(A451="","",IF(F451="次卡",IF(OR(K451="",K451=0,M451=0),"",K451/M451),IF(F451="期限卡",IF(AND(K451&lt;&gt;"",K451&lt;&gt;0,I451&gt;H451),K451/(I451-H451),""),"")))</f>
        <v/>
      </c>
      <c r="R451" s="31">
        <f>IF(A451="","",IF(F451="次卡",IF(OR(K451="",K451=0,M451=0),"",Q451*O451),IF(F451="期限卡",IF(AND(K451&lt;&gt;"",K451&lt;&gt;0,I451&gt;H451),Q451*P451,""),"")))</f>
        <v/>
      </c>
      <c r="S451" s="58">
        <f>IF(A451="","",IFERROR(_xlfn.MAXIFS(上课记录!$D:$D,上课记录!$B:$B,A451,上课记录!$J:$J,"是"),""))</f>
        <v/>
      </c>
      <c r="T451" s="31">
        <f>IF(A451="","",IF(S451="","",TODAY()-S451))</f>
        <v/>
      </c>
      <c r="U451" s="31">
        <f>IF(A451="","",IF(OR(AND(F451="次卡",O451=0),AND(F451="期限卡",P451=0)),"已到期",IF(T451&gt;=10,"沉睡客户",IF(T451&gt;=7,"预警客户","正常"))))</f>
        <v/>
      </c>
      <c r="V451" s="11" t="n"/>
      <c r="W451" s="11" t="n"/>
    </row>
    <row r="452">
      <c r="A452" s="44" t="n"/>
      <c r="B452" s="11" t="n"/>
      <c r="C452" s="11" t="n"/>
      <c r="D452" s="11" t="n"/>
      <c r="E452" s="11" t="n"/>
      <c r="F452" s="11" t="n"/>
      <c r="G452" s="55" t="n"/>
      <c r="H452" s="55" t="n"/>
      <c r="I452" s="55" t="n"/>
      <c r="J452" s="11" t="n"/>
      <c r="K452" s="56" t="n"/>
      <c r="L452" s="46">
        <f>K452-J452</f>
        <v/>
      </c>
      <c r="M452" s="47" t="n"/>
      <c r="N452" s="48">
        <f>IF(A452="","",COUNTIFS(上课记录!$B:$B,A452,上课记录!$J:$J,"是"))</f>
        <v/>
      </c>
      <c r="O452" s="31">
        <f>IF(A452="","",IF(F452="次卡",MAX(0,M452-N452),"—"))</f>
        <v/>
      </c>
      <c r="P452" s="31">
        <f>IF(A452="","",IF(F452="期限卡",MAX(0,I452-TODAY()),"—"))</f>
        <v/>
      </c>
      <c r="Q452" s="31">
        <f>IF(A452="","",IF(F452="次卡",IF(OR(K452="",K452=0,M452=0),"",K452/M452),IF(F452="期限卡",IF(AND(K452&lt;&gt;"",K452&lt;&gt;0,I452&gt;H452),K452/(I452-H452),""),"")))</f>
        <v/>
      </c>
      <c r="R452" s="31">
        <f>IF(A452="","",IF(F452="次卡",IF(OR(K452="",K452=0,M452=0),"",Q452*O452),IF(F452="期限卡",IF(AND(K452&lt;&gt;"",K452&lt;&gt;0,I452&gt;H452),Q452*P452,""),"")))</f>
        <v/>
      </c>
      <c r="S452" s="58">
        <f>IF(A452="","",IFERROR(_xlfn.MAXIFS(上课记录!$D:$D,上课记录!$B:$B,A452,上课记录!$J:$J,"是"),""))</f>
        <v/>
      </c>
      <c r="T452" s="31">
        <f>IF(A452="","",IF(S452="","",TODAY()-S452))</f>
        <v/>
      </c>
      <c r="U452" s="31">
        <f>IF(A452="","",IF(OR(AND(F452="次卡",O452=0),AND(F452="期限卡",P452=0)),"已到期",IF(T452&gt;=10,"沉睡客户",IF(T452&gt;=7,"预警客户","正常"))))</f>
        <v/>
      </c>
      <c r="V452" s="11" t="n"/>
      <c r="W452" s="11" t="n"/>
    </row>
    <row r="453">
      <c r="A453" s="44" t="n"/>
      <c r="B453" s="11" t="n"/>
      <c r="C453" s="11" t="n"/>
      <c r="D453" s="11" t="n"/>
      <c r="E453" s="11" t="n"/>
      <c r="F453" s="11" t="n"/>
      <c r="G453" s="55" t="n"/>
      <c r="H453" s="55" t="n"/>
      <c r="I453" s="55" t="n"/>
      <c r="J453" s="11" t="n"/>
      <c r="K453" s="56" t="n"/>
      <c r="L453" s="46">
        <f>K453-J453</f>
        <v/>
      </c>
      <c r="M453" s="47" t="n"/>
      <c r="N453" s="48">
        <f>IF(A453="","",COUNTIFS(上课记录!$B:$B,A453,上课记录!$J:$J,"是"))</f>
        <v/>
      </c>
      <c r="O453" s="31">
        <f>IF(A453="","",IF(F453="次卡",MAX(0,M453-N453),"—"))</f>
        <v/>
      </c>
      <c r="P453" s="31">
        <f>IF(A453="","",IF(F453="期限卡",MAX(0,I453-TODAY()),"—"))</f>
        <v/>
      </c>
      <c r="Q453" s="31">
        <f>IF(A453="","",IF(F453="次卡",IF(OR(K453="",K453=0,M453=0),"",K453/M453),IF(F453="期限卡",IF(AND(K453&lt;&gt;"",K453&lt;&gt;0,I453&gt;H453),K453/(I453-H453),""),"")))</f>
        <v/>
      </c>
      <c r="R453" s="31">
        <f>IF(A453="","",IF(F453="次卡",IF(OR(K453="",K453=0,M453=0),"",Q453*O453),IF(F453="期限卡",IF(AND(K453&lt;&gt;"",K453&lt;&gt;0,I453&gt;H453),Q453*P453,""),"")))</f>
        <v/>
      </c>
      <c r="S453" s="58">
        <f>IF(A453="","",IFERROR(_xlfn.MAXIFS(上课记录!$D:$D,上课记录!$B:$B,A453,上课记录!$J:$J,"是"),""))</f>
        <v/>
      </c>
      <c r="T453" s="31">
        <f>IF(A453="","",IF(S453="","",TODAY()-S453))</f>
        <v/>
      </c>
      <c r="U453" s="31">
        <f>IF(A453="","",IF(OR(AND(F453="次卡",O453=0),AND(F453="期限卡",P453=0)),"已到期",IF(T453&gt;=10,"沉睡客户",IF(T453&gt;=7,"预警客户","正常"))))</f>
        <v/>
      </c>
      <c r="V453" s="11" t="n"/>
      <c r="W453" s="11" t="n"/>
    </row>
    <row r="454">
      <c r="A454" s="44" t="n"/>
      <c r="B454" s="11" t="n"/>
      <c r="C454" s="11" t="n"/>
      <c r="D454" s="11" t="n"/>
      <c r="E454" s="11" t="n"/>
      <c r="F454" s="11" t="n"/>
      <c r="G454" s="55" t="n"/>
      <c r="H454" s="55" t="n"/>
      <c r="I454" s="55" t="n"/>
      <c r="J454" s="11" t="n"/>
      <c r="K454" s="56" t="n"/>
      <c r="L454" s="46">
        <f>K454-J454</f>
        <v/>
      </c>
      <c r="M454" s="47" t="n"/>
      <c r="N454" s="48">
        <f>IF(A454="","",COUNTIFS(上课记录!$B:$B,A454,上课记录!$J:$J,"是"))</f>
        <v/>
      </c>
      <c r="O454" s="31">
        <f>IF(A454="","",IF(F454="次卡",MAX(0,M454-N454),"—"))</f>
        <v/>
      </c>
      <c r="P454" s="31">
        <f>IF(A454="","",IF(F454="期限卡",MAX(0,I454-TODAY()),"—"))</f>
        <v/>
      </c>
      <c r="Q454" s="31">
        <f>IF(A454="","",IF(F454="次卡",IF(OR(K454="",K454=0,M454=0),"",K454/M454),IF(F454="期限卡",IF(AND(K454&lt;&gt;"",K454&lt;&gt;0,I454&gt;H454),K454/(I454-H454),""),"")))</f>
        <v/>
      </c>
      <c r="R454" s="31">
        <f>IF(A454="","",IF(F454="次卡",IF(OR(K454="",K454=0,M454=0),"",Q454*O454),IF(F454="期限卡",IF(AND(K454&lt;&gt;"",K454&lt;&gt;0,I454&gt;H454),Q454*P454,""),"")))</f>
        <v/>
      </c>
      <c r="S454" s="58">
        <f>IF(A454="","",IFERROR(_xlfn.MAXIFS(上课记录!$D:$D,上课记录!$B:$B,A454,上课记录!$J:$J,"是"),""))</f>
        <v/>
      </c>
      <c r="T454" s="31">
        <f>IF(A454="","",IF(S454="","",TODAY()-S454))</f>
        <v/>
      </c>
      <c r="U454" s="31">
        <f>IF(A454="","",IF(OR(AND(F454="次卡",O454=0),AND(F454="期限卡",P454=0)),"已到期",IF(T454&gt;=10,"沉睡客户",IF(T454&gt;=7,"预警客户","正常"))))</f>
        <v/>
      </c>
      <c r="V454" s="11" t="n"/>
      <c r="W454" s="11" t="n"/>
    </row>
    <row r="455">
      <c r="A455" s="44" t="n"/>
      <c r="B455" s="11" t="n"/>
      <c r="C455" s="11" t="n"/>
      <c r="D455" s="11" t="n"/>
      <c r="E455" s="11" t="n"/>
      <c r="F455" s="11" t="n"/>
      <c r="G455" s="55" t="n"/>
      <c r="H455" s="55" t="n"/>
      <c r="I455" s="55" t="n"/>
      <c r="J455" s="11" t="n"/>
      <c r="K455" s="56" t="n"/>
      <c r="L455" s="46">
        <f>K455-J455</f>
        <v/>
      </c>
      <c r="M455" s="47" t="n"/>
      <c r="N455" s="48">
        <f>IF(A455="","",COUNTIFS(上课记录!$B:$B,A455,上课记录!$J:$J,"是"))</f>
        <v/>
      </c>
      <c r="O455" s="31">
        <f>IF(A455="","",IF(F455="次卡",MAX(0,M455-N455),"—"))</f>
        <v/>
      </c>
      <c r="P455" s="31">
        <f>IF(A455="","",IF(F455="期限卡",MAX(0,I455-TODAY()),"—"))</f>
        <v/>
      </c>
      <c r="Q455" s="31">
        <f>IF(A455="","",IF(F455="次卡",IF(OR(K455="",K455=0,M455=0),"",K455/M455),IF(F455="期限卡",IF(AND(K455&lt;&gt;"",K455&lt;&gt;0,I455&gt;H455),K455/(I455-H455),""),"")))</f>
        <v/>
      </c>
      <c r="R455" s="31">
        <f>IF(A455="","",IF(F455="次卡",IF(OR(K455="",K455=0,M455=0),"",Q455*O455),IF(F455="期限卡",IF(AND(K455&lt;&gt;"",K455&lt;&gt;0,I455&gt;H455),Q455*P455,""),"")))</f>
        <v/>
      </c>
      <c r="S455" s="58">
        <f>IF(A455="","",IFERROR(_xlfn.MAXIFS(上课记录!$D:$D,上课记录!$B:$B,A455,上课记录!$J:$J,"是"),""))</f>
        <v/>
      </c>
      <c r="T455" s="31">
        <f>IF(A455="","",IF(S455="","",TODAY()-S455))</f>
        <v/>
      </c>
      <c r="U455" s="31">
        <f>IF(A455="","",IF(OR(AND(F455="次卡",O455=0),AND(F455="期限卡",P455=0)),"已到期",IF(T455&gt;=10,"沉睡客户",IF(T455&gt;=7,"预警客户","正常"))))</f>
        <v/>
      </c>
      <c r="V455" s="11" t="n"/>
      <c r="W455" s="11" t="n"/>
    </row>
    <row r="456">
      <c r="A456" s="44" t="n"/>
      <c r="B456" s="11" t="n"/>
      <c r="C456" s="11" t="n"/>
      <c r="D456" s="11" t="n"/>
      <c r="E456" s="11" t="n"/>
      <c r="F456" s="11" t="n"/>
      <c r="G456" s="55" t="n"/>
      <c r="H456" s="55" t="n"/>
      <c r="I456" s="55" t="n"/>
      <c r="J456" s="11" t="n"/>
      <c r="K456" s="56" t="n"/>
      <c r="L456" s="46">
        <f>K456-J456</f>
        <v/>
      </c>
      <c r="M456" s="47" t="n"/>
      <c r="N456" s="48">
        <f>IF(A456="","",COUNTIFS(上课记录!$B:$B,A456,上课记录!$J:$J,"是"))</f>
        <v/>
      </c>
      <c r="O456" s="31">
        <f>IF(A456="","",IF(F456="次卡",MAX(0,M456-N456),"—"))</f>
        <v/>
      </c>
      <c r="P456" s="31">
        <f>IF(A456="","",IF(F456="期限卡",MAX(0,I456-TODAY()),"—"))</f>
        <v/>
      </c>
      <c r="Q456" s="31">
        <f>IF(A456="","",IF(F456="次卡",IF(OR(K456="",K456=0,M456=0),"",K456/M456),IF(F456="期限卡",IF(AND(K456&lt;&gt;"",K456&lt;&gt;0,I456&gt;H456),K456/(I456-H456),""),"")))</f>
        <v/>
      </c>
      <c r="R456" s="31">
        <f>IF(A456="","",IF(F456="次卡",IF(OR(K456="",K456=0,M456=0),"",Q456*O456),IF(F456="期限卡",IF(AND(K456&lt;&gt;"",K456&lt;&gt;0,I456&gt;H456),Q456*P456,""),"")))</f>
        <v/>
      </c>
      <c r="S456" s="58">
        <f>IF(A456="","",IFERROR(_xlfn.MAXIFS(上课记录!$D:$D,上课记录!$B:$B,A456,上课记录!$J:$J,"是"),""))</f>
        <v/>
      </c>
      <c r="T456" s="31">
        <f>IF(A456="","",IF(S456="","",TODAY()-S456))</f>
        <v/>
      </c>
      <c r="U456" s="31">
        <f>IF(A456="","",IF(OR(AND(F456="次卡",O456=0),AND(F456="期限卡",P456=0)),"已到期",IF(T456&gt;=10,"沉睡客户",IF(T456&gt;=7,"预警客户","正常"))))</f>
        <v/>
      </c>
      <c r="V456" s="11" t="n"/>
      <c r="W456" s="11" t="n"/>
    </row>
    <row r="457">
      <c r="A457" s="44" t="n"/>
      <c r="B457" s="11" t="n"/>
      <c r="C457" s="11" t="n"/>
      <c r="D457" s="11" t="n"/>
      <c r="E457" s="11" t="n"/>
      <c r="F457" s="11" t="n"/>
      <c r="G457" s="55" t="n"/>
      <c r="H457" s="55" t="n"/>
      <c r="I457" s="55" t="n"/>
      <c r="J457" s="11" t="n"/>
      <c r="K457" s="56" t="n"/>
      <c r="L457" s="46">
        <f>K457-J457</f>
        <v/>
      </c>
      <c r="M457" s="47" t="n"/>
      <c r="N457" s="48">
        <f>IF(A457="","",COUNTIFS(上课记录!$B:$B,A457,上课记录!$J:$J,"是"))</f>
        <v/>
      </c>
      <c r="O457" s="31">
        <f>IF(A457="","",IF(F457="次卡",MAX(0,M457-N457),"—"))</f>
        <v/>
      </c>
      <c r="P457" s="31">
        <f>IF(A457="","",IF(F457="期限卡",MAX(0,I457-TODAY()),"—"))</f>
        <v/>
      </c>
      <c r="Q457" s="31">
        <f>IF(A457="","",IF(F457="次卡",IF(OR(K457="",K457=0,M457=0),"",K457/M457),IF(F457="期限卡",IF(AND(K457&lt;&gt;"",K457&lt;&gt;0,I457&gt;H457),K457/(I457-H457),""),"")))</f>
        <v/>
      </c>
      <c r="R457" s="31">
        <f>IF(A457="","",IF(F457="次卡",IF(OR(K457="",K457=0,M457=0),"",Q457*O457),IF(F457="期限卡",IF(AND(K457&lt;&gt;"",K457&lt;&gt;0,I457&gt;H457),Q457*P457,""),"")))</f>
        <v/>
      </c>
      <c r="S457" s="58">
        <f>IF(A457="","",IFERROR(_xlfn.MAXIFS(上课记录!$D:$D,上课记录!$B:$B,A457,上课记录!$J:$J,"是"),""))</f>
        <v/>
      </c>
      <c r="T457" s="31">
        <f>IF(A457="","",IF(S457="","",TODAY()-S457))</f>
        <v/>
      </c>
      <c r="U457" s="31">
        <f>IF(A457="","",IF(OR(AND(F457="次卡",O457=0),AND(F457="期限卡",P457=0)),"已到期",IF(T457&gt;=10,"沉睡客户",IF(T457&gt;=7,"预警客户","正常"))))</f>
        <v/>
      </c>
      <c r="V457" s="11" t="n"/>
      <c r="W457" s="11" t="n"/>
    </row>
    <row r="458">
      <c r="A458" s="44" t="n"/>
      <c r="B458" s="11" t="n"/>
      <c r="C458" s="11" t="n"/>
      <c r="D458" s="11" t="n"/>
      <c r="E458" s="11" t="n"/>
      <c r="F458" s="11" t="n"/>
      <c r="G458" s="55" t="n"/>
      <c r="H458" s="55" t="n"/>
      <c r="I458" s="55" t="n"/>
      <c r="J458" s="11" t="n"/>
      <c r="K458" s="56" t="n"/>
      <c r="L458" s="46">
        <f>K458-J458</f>
        <v/>
      </c>
      <c r="M458" s="47" t="n"/>
      <c r="N458" s="48">
        <f>IF(A458="","",COUNTIFS(上课记录!$B:$B,A458,上课记录!$J:$J,"是"))</f>
        <v/>
      </c>
      <c r="O458" s="31">
        <f>IF(A458="","",IF(F458="次卡",MAX(0,M458-N458),"—"))</f>
        <v/>
      </c>
      <c r="P458" s="31">
        <f>IF(A458="","",IF(F458="期限卡",MAX(0,I458-TODAY()),"—"))</f>
        <v/>
      </c>
      <c r="Q458" s="31">
        <f>IF(A458="","",IF(F458="次卡",IF(OR(K458="",K458=0,M458=0),"",K458/M458),IF(F458="期限卡",IF(AND(K458&lt;&gt;"",K458&lt;&gt;0,I458&gt;H458),K458/(I458-H458),""),"")))</f>
        <v/>
      </c>
      <c r="R458" s="31">
        <f>IF(A458="","",IF(F458="次卡",IF(OR(K458="",K458=0,M458=0),"",Q458*O458),IF(F458="期限卡",IF(AND(K458&lt;&gt;"",K458&lt;&gt;0,I458&gt;H458),Q458*P458,""),"")))</f>
        <v/>
      </c>
      <c r="S458" s="58">
        <f>IF(A458="","",IFERROR(_xlfn.MAXIFS(上课记录!$D:$D,上课记录!$B:$B,A458,上课记录!$J:$J,"是"),""))</f>
        <v/>
      </c>
      <c r="T458" s="31">
        <f>IF(A458="","",IF(S458="","",TODAY()-S458))</f>
        <v/>
      </c>
      <c r="U458" s="31">
        <f>IF(A458="","",IF(OR(AND(F458="次卡",O458=0),AND(F458="期限卡",P458=0)),"已到期",IF(T458&gt;=10,"沉睡客户",IF(T458&gt;=7,"预警客户","正常"))))</f>
        <v/>
      </c>
      <c r="V458" s="11" t="n"/>
      <c r="W458" s="11" t="n"/>
    </row>
    <row r="459">
      <c r="A459" s="44" t="n"/>
      <c r="B459" s="11" t="n"/>
      <c r="C459" s="11" t="n"/>
      <c r="D459" s="11" t="n"/>
      <c r="E459" s="11" t="n"/>
      <c r="F459" s="11" t="n"/>
      <c r="G459" s="55" t="n"/>
      <c r="H459" s="55" t="n"/>
      <c r="I459" s="55" t="n"/>
      <c r="J459" s="11" t="n"/>
      <c r="K459" s="56" t="n"/>
      <c r="L459" s="46">
        <f>K459-J459</f>
        <v/>
      </c>
      <c r="M459" s="47" t="n"/>
      <c r="N459" s="48">
        <f>IF(A459="","",COUNTIFS(上课记录!$B:$B,A459,上课记录!$J:$J,"是"))</f>
        <v/>
      </c>
      <c r="O459" s="31">
        <f>IF(A459="","",IF(F459="次卡",MAX(0,M459-N459),"—"))</f>
        <v/>
      </c>
      <c r="P459" s="31">
        <f>IF(A459="","",IF(F459="期限卡",MAX(0,I459-TODAY()),"—"))</f>
        <v/>
      </c>
      <c r="Q459" s="31">
        <f>IF(A459="","",IF(F459="次卡",IF(OR(K459="",K459=0,M459=0),"",K459/M459),IF(F459="期限卡",IF(AND(K459&lt;&gt;"",K459&lt;&gt;0,I459&gt;H459),K459/(I459-H459),""),"")))</f>
        <v/>
      </c>
      <c r="R459" s="31">
        <f>IF(A459="","",IF(F459="次卡",IF(OR(K459="",K459=0,M459=0),"",Q459*O459),IF(F459="期限卡",IF(AND(K459&lt;&gt;"",K459&lt;&gt;0,I459&gt;H459),Q459*P459,""),"")))</f>
        <v/>
      </c>
      <c r="S459" s="58">
        <f>IF(A459="","",IFERROR(_xlfn.MAXIFS(上课记录!$D:$D,上课记录!$B:$B,A459,上课记录!$J:$J,"是"),""))</f>
        <v/>
      </c>
      <c r="T459" s="31">
        <f>IF(A459="","",IF(S459="","",TODAY()-S459))</f>
        <v/>
      </c>
      <c r="U459" s="31">
        <f>IF(A459="","",IF(OR(AND(F459="次卡",O459=0),AND(F459="期限卡",P459=0)),"已到期",IF(T459&gt;=10,"沉睡客户",IF(T459&gt;=7,"预警客户","正常"))))</f>
        <v/>
      </c>
      <c r="V459" s="11" t="n"/>
      <c r="W459" s="11" t="n"/>
    </row>
    <row r="460">
      <c r="A460" s="44" t="n"/>
      <c r="B460" s="11" t="n"/>
      <c r="C460" s="11" t="n"/>
      <c r="D460" s="11" t="n"/>
      <c r="E460" s="11" t="n"/>
      <c r="F460" s="11" t="n"/>
      <c r="G460" s="55" t="n"/>
      <c r="H460" s="55" t="n"/>
      <c r="I460" s="55" t="n"/>
      <c r="J460" s="11" t="n"/>
      <c r="K460" s="56" t="n"/>
      <c r="L460" s="46">
        <f>K460-J460</f>
        <v/>
      </c>
      <c r="M460" s="47" t="n"/>
      <c r="N460" s="48">
        <f>IF(A460="","",COUNTIFS(上课记录!$B:$B,A460,上课记录!$J:$J,"是"))</f>
        <v/>
      </c>
      <c r="O460" s="31">
        <f>IF(A460="","",IF(F460="次卡",MAX(0,M460-N460),"—"))</f>
        <v/>
      </c>
      <c r="P460" s="31">
        <f>IF(A460="","",IF(F460="期限卡",MAX(0,I460-TODAY()),"—"))</f>
        <v/>
      </c>
      <c r="Q460" s="31">
        <f>IF(A460="","",IF(F460="次卡",IF(OR(K460="",K460=0,M460=0),"",K460/M460),IF(F460="期限卡",IF(AND(K460&lt;&gt;"",K460&lt;&gt;0,I460&gt;H460),K460/(I460-H460),""),"")))</f>
        <v/>
      </c>
      <c r="R460" s="31">
        <f>IF(A460="","",IF(F460="次卡",IF(OR(K460="",K460=0,M460=0),"",Q460*O460),IF(F460="期限卡",IF(AND(K460&lt;&gt;"",K460&lt;&gt;0,I460&gt;H460),Q460*P460,""),"")))</f>
        <v/>
      </c>
      <c r="S460" s="58">
        <f>IF(A460="","",IFERROR(_xlfn.MAXIFS(上课记录!$D:$D,上课记录!$B:$B,A460,上课记录!$J:$J,"是"),""))</f>
        <v/>
      </c>
      <c r="T460" s="31">
        <f>IF(A460="","",IF(S460="","",TODAY()-S460))</f>
        <v/>
      </c>
      <c r="U460" s="31">
        <f>IF(A460="","",IF(OR(AND(F460="次卡",O460=0),AND(F460="期限卡",P460=0)),"已到期",IF(T460&gt;=10,"沉睡客户",IF(T460&gt;=7,"预警客户","正常"))))</f>
        <v/>
      </c>
      <c r="V460" s="11" t="n"/>
      <c r="W460" s="11" t="n"/>
    </row>
    <row r="461">
      <c r="A461" s="44" t="n"/>
      <c r="B461" s="11" t="n"/>
      <c r="C461" s="11" t="n"/>
      <c r="D461" s="11" t="n"/>
      <c r="E461" s="11" t="n"/>
      <c r="F461" s="11" t="n"/>
      <c r="G461" s="55" t="n"/>
      <c r="H461" s="55" t="n"/>
      <c r="I461" s="55" t="n"/>
      <c r="J461" s="11" t="n"/>
      <c r="K461" s="56" t="n"/>
      <c r="L461" s="46">
        <f>K461-J461</f>
        <v/>
      </c>
      <c r="M461" s="47" t="n"/>
      <c r="N461" s="48">
        <f>IF(A461="","",COUNTIFS(上课记录!$B:$B,A461,上课记录!$J:$J,"是"))</f>
        <v/>
      </c>
      <c r="O461" s="31">
        <f>IF(A461="","",IF(F461="次卡",MAX(0,M461-N461),"—"))</f>
        <v/>
      </c>
      <c r="P461" s="31">
        <f>IF(A461="","",IF(F461="期限卡",MAX(0,I461-TODAY()),"—"))</f>
        <v/>
      </c>
      <c r="Q461" s="31">
        <f>IF(A461="","",IF(F461="次卡",IF(OR(K461="",K461=0,M461=0),"",K461/M461),IF(F461="期限卡",IF(AND(K461&lt;&gt;"",K461&lt;&gt;0,I461&gt;H461),K461/(I461-H461),""),"")))</f>
        <v/>
      </c>
      <c r="R461" s="31">
        <f>IF(A461="","",IF(F461="次卡",IF(OR(K461="",K461=0,M461=0),"",Q461*O461),IF(F461="期限卡",IF(AND(K461&lt;&gt;"",K461&lt;&gt;0,I461&gt;H461),Q461*P461,""),"")))</f>
        <v/>
      </c>
      <c r="S461" s="58">
        <f>IF(A461="","",IFERROR(_xlfn.MAXIFS(上课记录!$D:$D,上课记录!$B:$B,A461,上课记录!$J:$J,"是"),""))</f>
        <v/>
      </c>
      <c r="T461" s="31">
        <f>IF(A461="","",IF(S461="","",TODAY()-S461))</f>
        <v/>
      </c>
      <c r="U461" s="31">
        <f>IF(A461="","",IF(OR(AND(F461="次卡",O461=0),AND(F461="期限卡",P461=0)),"已到期",IF(T461&gt;=10,"沉睡客户",IF(T461&gt;=7,"预警客户","正常"))))</f>
        <v/>
      </c>
      <c r="V461" s="11" t="n"/>
      <c r="W461" s="11" t="n"/>
    </row>
    <row r="462">
      <c r="A462" s="44" t="n"/>
      <c r="B462" s="11" t="n"/>
      <c r="C462" s="11" t="n"/>
      <c r="D462" s="11" t="n"/>
      <c r="E462" s="11" t="n"/>
      <c r="F462" s="11" t="n"/>
      <c r="G462" s="55" t="n"/>
      <c r="H462" s="55" t="n"/>
      <c r="I462" s="55" t="n"/>
      <c r="J462" s="11" t="n"/>
      <c r="K462" s="56" t="n"/>
      <c r="L462" s="46">
        <f>K462-J462</f>
        <v/>
      </c>
      <c r="M462" s="47" t="n"/>
      <c r="N462" s="48">
        <f>IF(A462="","",COUNTIFS(上课记录!$B:$B,A462,上课记录!$J:$J,"是"))</f>
        <v/>
      </c>
      <c r="O462" s="31">
        <f>IF(A462="","",IF(F462="次卡",MAX(0,M462-N462),"—"))</f>
        <v/>
      </c>
      <c r="P462" s="31">
        <f>IF(A462="","",IF(F462="期限卡",MAX(0,I462-TODAY()),"—"))</f>
        <v/>
      </c>
      <c r="Q462" s="31">
        <f>IF(A462="","",IF(F462="次卡",IF(OR(K462="",K462=0,M462=0),"",K462/M462),IF(F462="期限卡",IF(AND(K462&lt;&gt;"",K462&lt;&gt;0,I462&gt;H462),K462/(I462-H462),""),"")))</f>
        <v/>
      </c>
      <c r="R462" s="31">
        <f>IF(A462="","",IF(F462="次卡",IF(OR(K462="",K462=0,M462=0),"",Q462*O462),IF(F462="期限卡",IF(AND(K462&lt;&gt;"",K462&lt;&gt;0,I462&gt;H462),Q462*P462,""),"")))</f>
        <v/>
      </c>
      <c r="S462" s="58">
        <f>IF(A462="","",IFERROR(_xlfn.MAXIFS(上课记录!$D:$D,上课记录!$B:$B,A462,上课记录!$J:$J,"是"),""))</f>
        <v/>
      </c>
      <c r="T462" s="31">
        <f>IF(A462="","",IF(S462="","",TODAY()-S462))</f>
        <v/>
      </c>
      <c r="U462" s="31">
        <f>IF(A462="","",IF(OR(AND(F462="次卡",O462=0),AND(F462="期限卡",P462=0)),"已到期",IF(T462&gt;=10,"沉睡客户",IF(T462&gt;=7,"预警客户","正常"))))</f>
        <v/>
      </c>
      <c r="V462" s="11" t="n"/>
      <c r="W462" s="11" t="n"/>
    </row>
    <row r="463">
      <c r="A463" s="44" t="n"/>
      <c r="B463" s="11" t="n"/>
      <c r="C463" s="11" t="n"/>
      <c r="D463" s="11" t="n"/>
      <c r="E463" s="11" t="n"/>
      <c r="F463" s="11" t="n"/>
      <c r="G463" s="55" t="n"/>
      <c r="H463" s="55" t="n"/>
      <c r="I463" s="55" t="n"/>
      <c r="J463" s="11" t="n"/>
      <c r="K463" s="56" t="n"/>
      <c r="L463" s="46">
        <f>K463-J463</f>
        <v/>
      </c>
      <c r="M463" s="47" t="n"/>
      <c r="N463" s="48">
        <f>IF(A463="","",COUNTIFS(上课记录!$B:$B,A463,上课记录!$J:$J,"是"))</f>
        <v/>
      </c>
      <c r="O463" s="31">
        <f>IF(A463="","",IF(F463="次卡",MAX(0,M463-N463),"—"))</f>
        <v/>
      </c>
      <c r="P463" s="31">
        <f>IF(A463="","",IF(F463="期限卡",MAX(0,I463-TODAY()),"—"))</f>
        <v/>
      </c>
      <c r="Q463" s="31">
        <f>IF(A463="","",IF(F463="次卡",IF(OR(K463="",K463=0,M463=0),"",K463/M463),IF(F463="期限卡",IF(AND(K463&lt;&gt;"",K463&lt;&gt;0,I463&gt;H463),K463/(I463-H463),""),"")))</f>
        <v/>
      </c>
      <c r="R463" s="31">
        <f>IF(A463="","",IF(F463="次卡",IF(OR(K463="",K463=0,M463=0),"",Q463*O463),IF(F463="期限卡",IF(AND(K463&lt;&gt;"",K463&lt;&gt;0,I463&gt;H463),Q463*P463,""),"")))</f>
        <v/>
      </c>
      <c r="S463" s="58">
        <f>IF(A463="","",IFERROR(_xlfn.MAXIFS(上课记录!$D:$D,上课记录!$B:$B,A463,上课记录!$J:$J,"是"),""))</f>
        <v/>
      </c>
      <c r="T463" s="31">
        <f>IF(A463="","",IF(S463="","",TODAY()-S463))</f>
        <v/>
      </c>
      <c r="U463" s="31">
        <f>IF(A463="","",IF(OR(AND(F463="次卡",O463=0),AND(F463="期限卡",P463=0)),"已到期",IF(T463&gt;=10,"沉睡客户",IF(T463&gt;=7,"预警客户","正常"))))</f>
        <v/>
      </c>
      <c r="V463" s="11" t="n"/>
      <c r="W463" s="11" t="n"/>
    </row>
    <row r="464">
      <c r="A464" s="44" t="n"/>
      <c r="B464" s="11" t="n"/>
      <c r="C464" s="11" t="n"/>
      <c r="D464" s="11" t="n"/>
      <c r="E464" s="11" t="n"/>
      <c r="F464" s="11" t="n"/>
      <c r="G464" s="55" t="n"/>
      <c r="H464" s="55" t="n"/>
      <c r="I464" s="55" t="n"/>
      <c r="J464" s="11" t="n"/>
      <c r="K464" s="56" t="n"/>
      <c r="L464" s="46">
        <f>K464-J464</f>
        <v/>
      </c>
      <c r="M464" s="47" t="n"/>
      <c r="N464" s="48">
        <f>IF(A464="","",COUNTIFS(上课记录!$B:$B,A464,上课记录!$J:$J,"是"))</f>
        <v/>
      </c>
      <c r="O464" s="31">
        <f>IF(A464="","",IF(F464="次卡",MAX(0,M464-N464),"—"))</f>
        <v/>
      </c>
      <c r="P464" s="31">
        <f>IF(A464="","",IF(F464="期限卡",MAX(0,I464-TODAY()),"—"))</f>
        <v/>
      </c>
      <c r="Q464" s="31">
        <f>IF(A464="","",IF(F464="次卡",IF(OR(K464="",K464=0,M464=0),"",K464/M464),IF(F464="期限卡",IF(AND(K464&lt;&gt;"",K464&lt;&gt;0,I464&gt;H464),K464/(I464-H464),""),"")))</f>
        <v/>
      </c>
      <c r="R464" s="31">
        <f>IF(A464="","",IF(F464="次卡",IF(OR(K464="",K464=0,M464=0),"",Q464*O464),IF(F464="期限卡",IF(AND(K464&lt;&gt;"",K464&lt;&gt;0,I464&gt;H464),Q464*P464,""),"")))</f>
        <v/>
      </c>
      <c r="S464" s="58">
        <f>IF(A464="","",IFERROR(_xlfn.MAXIFS(上课记录!$D:$D,上课记录!$B:$B,A464,上课记录!$J:$J,"是"),""))</f>
        <v/>
      </c>
      <c r="T464" s="31">
        <f>IF(A464="","",IF(S464="","",TODAY()-S464))</f>
        <v/>
      </c>
      <c r="U464" s="31">
        <f>IF(A464="","",IF(OR(AND(F464="次卡",O464=0),AND(F464="期限卡",P464=0)),"已到期",IF(T464&gt;=10,"沉睡客户",IF(T464&gt;=7,"预警客户","正常"))))</f>
        <v/>
      </c>
      <c r="V464" s="11" t="n"/>
      <c r="W464" s="11" t="n"/>
    </row>
    <row r="465">
      <c r="A465" s="44" t="n"/>
      <c r="B465" s="11" t="n"/>
      <c r="C465" s="11" t="n"/>
      <c r="D465" s="11" t="n"/>
      <c r="E465" s="11" t="n"/>
      <c r="F465" s="11" t="n"/>
      <c r="G465" s="55" t="n"/>
      <c r="H465" s="55" t="n"/>
      <c r="I465" s="55" t="n"/>
      <c r="J465" s="11" t="n"/>
      <c r="K465" s="56" t="n"/>
      <c r="L465" s="46">
        <f>K465-J465</f>
        <v/>
      </c>
      <c r="M465" s="47" t="n"/>
      <c r="N465" s="48">
        <f>IF(A465="","",COUNTIFS(上课记录!$B:$B,A465,上课记录!$J:$J,"是"))</f>
        <v/>
      </c>
      <c r="O465" s="31">
        <f>IF(A465="","",IF(F465="次卡",MAX(0,M465-N465),"—"))</f>
        <v/>
      </c>
      <c r="P465" s="31">
        <f>IF(A465="","",IF(F465="期限卡",MAX(0,I465-TODAY()),"—"))</f>
        <v/>
      </c>
      <c r="Q465" s="31">
        <f>IF(A465="","",IF(F465="次卡",IF(OR(K465="",K465=0,M465=0),"",K465/M465),IF(F465="期限卡",IF(AND(K465&lt;&gt;"",K465&lt;&gt;0,I465&gt;H465),K465/(I465-H465),""),"")))</f>
        <v/>
      </c>
      <c r="R465" s="31">
        <f>IF(A465="","",IF(F465="次卡",IF(OR(K465="",K465=0,M465=0),"",Q465*O465),IF(F465="期限卡",IF(AND(K465&lt;&gt;"",K465&lt;&gt;0,I465&gt;H465),Q465*P465,""),"")))</f>
        <v/>
      </c>
      <c r="S465" s="58">
        <f>IF(A465="","",IFERROR(_xlfn.MAXIFS(上课记录!$D:$D,上课记录!$B:$B,A465,上课记录!$J:$J,"是"),""))</f>
        <v/>
      </c>
      <c r="T465" s="31">
        <f>IF(A465="","",IF(S465="","",TODAY()-S465))</f>
        <v/>
      </c>
      <c r="U465" s="31">
        <f>IF(A465="","",IF(OR(AND(F465="次卡",O465=0),AND(F465="期限卡",P465=0)),"已到期",IF(T465&gt;=10,"沉睡客户",IF(T465&gt;=7,"预警客户","正常"))))</f>
        <v/>
      </c>
      <c r="V465" s="11" t="n"/>
      <c r="W465" s="11" t="n"/>
    </row>
    <row r="466">
      <c r="A466" s="44" t="n"/>
      <c r="B466" s="11" t="n"/>
      <c r="C466" s="11" t="n"/>
      <c r="D466" s="11" t="n"/>
      <c r="E466" s="11" t="n"/>
      <c r="F466" s="11" t="n"/>
      <c r="G466" s="55" t="n"/>
      <c r="H466" s="55" t="n"/>
      <c r="I466" s="55" t="n"/>
      <c r="J466" s="11" t="n"/>
      <c r="K466" s="56" t="n"/>
      <c r="L466" s="46">
        <f>K466-J466</f>
        <v/>
      </c>
      <c r="M466" s="47" t="n"/>
      <c r="N466" s="48">
        <f>IF(A466="","",COUNTIFS(上课记录!$B:$B,A466,上课记录!$J:$J,"是"))</f>
        <v/>
      </c>
      <c r="O466" s="31">
        <f>IF(A466="","",IF(F466="次卡",MAX(0,M466-N466),"—"))</f>
        <v/>
      </c>
      <c r="P466" s="31">
        <f>IF(A466="","",IF(F466="期限卡",MAX(0,I466-TODAY()),"—"))</f>
        <v/>
      </c>
      <c r="Q466" s="31">
        <f>IF(A466="","",IF(F466="次卡",IF(OR(K466="",K466=0,M466=0),"",K466/M466),IF(F466="期限卡",IF(AND(K466&lt;&gt;"",K466&lt;&gt;0,I466&gt;H466),K466/(I466-H466),""),"")))</f>
        <v/>
      </c>
      <c r="R466" s="31">
        <f>IF(A466="","",IF(F466="次卡",IF(OR(K466="",K466=0,M466=0),"",Q466*O466),IF(F466="期限卡",IF(AND(K466&lt;&gt;"",K466&lt;&gt;0,I466&gt;H466),Q466*P466,""),"")))</f>
        <v/>
      </c>
      <c r="S466" s="58">
        <f>IF(A466="","",IFERROR(_xlfn.MAXIFS(上课记录!$D:$D,上课记录!$B:$B,A466,上课记录!$J:$J,"是"),""))</f>
        <v/>
      </c>
      <c r="T466" s="31">
        <f>IF(A466="","",IF(S466="","",TODAY()-S466))</f>
        <v/>
      </c>
      <c r="U466" s="31">
        <f>IF(A466="","",IF(OR(AND(F466="次卡",O466=0),AND(F466="期限卡",P466=0)),"已到期",IF(T466&gt;=10,"沉睡客户",IF(T466&gt;=7,"预警客户","正常"))))</f>
        <v/>
      </c>
      <c r="V466" s="11" t="n"/>
      <c r="W466" s="11" t="n"/>
    </row>
    <row r="467">
      <c r="A467" s="44" t="n"/>
      <c r="B467" s="11" t="n"/>
      <c r="C467" s="11" t="n"/>
      <c r="D467" s="11" t="n"/>
      <c r="E467" s="11" t="n"/>
      <c r="F467" s="11" t="n"/>
      <c r="G467" s="55" t="n"/>
      <c r="H467" s="55" t="n"/>
      <c r="I467" s="55" t="n"/>
      <c r="J467" s="11" t="n"/>
      <c r="K467" s="56" t="n"/>
      <c r="L467" s="46">
        <f>K467-J467</f>
        <v/>
      </c>
      <c r="M467" s="47" t="n"/>
      <c r="N467" s="48">
        <f>IF(A467="","",COUNTIFS(上课记录!$B:$B,A467,上课记录!$J:$J,"是"))</f>
        <v/>
      </c>
      <c r="O467" s="31">
        <f>IF(A467="","",IF(F467="次卡",MAX(0,M467-N467),"—"))</f>
        <v/>
      </c>
      <c r="P467" s="31">
        <f>IF(A467="","",IF(F467="期限卡",MAX(0,I467-TODAY()),"—"))</f>
        <v/>
      </c>
      <c r="Q467" s="31">
        <f>IF(A467="","",IF(F467="次卡",IF(OR(K467="",K467=0,M467=0),"",K467/M467),IF(F467="期限卡",IF(AND(K467&lt;&gt;"",K467&lt;&gt;0,I467&gt;H467),K467/(I467-H467),""),"")))</f>
        <v/>
      </c>
      <c r="R467" s="31">
        <f>IF(A467="","",IF(F467="次卡",IF(OR(K467="",K467=0,M467=0),"",Q467*O467),IF(F467="期限卡",IF(AND(K467&lt;&gt;"",K467&lt;&gt;0,I467&gt;H467),Q467*P467,""),"")))</f>
        <v/>
      </c>
      <c r="S467" s="58">
        <f>IF(A467="","",IFERROR(_xlfn.MAXIFS(上课记录!$D:$D,上课记录!$B:$B,A467,上课记录!$J:$J,"是"),""))</f>
        <v/>
      </c>
      <c r="T467" s="31">
        <f>IF(A467="","",IF(S467="","",TODAY()-S467))</f>
        <v/>
      </c>
      <c r="U467" s="31">
        <f>IF(A467="","",IF(OR(AND(F467="次卡",O467=0),AND(F467="期限卡",P467=0)),"已到期",IF(T467&gt;=10,"沉睡客户",IF(T467&gt;=7,"预警客户","正常"))))</f>
        <v/>
      </c>
      <c r="V467" s="11" t="n"/>
      <c r="W467" s="11" t="n"/>
    </row>
    <row r="468">
      <c r="A468" s="44" t="n"/>
      <c r="B468" s="11" t="n"/>
      <c r="C468" s="11" t="n"/>
      <c r="D468" s="11" t="n"/>
      <c r="E468" s="11" t="n"/>
      <c r="F468" s="11" t="n"/>
      <c r="G468" s="55" t="n"/>
      <c r="H468" s="55" t="n"/>
      <c r="I468" s="55" t="n"/>
      <c r="J468" s="11" t="n"/>
      <c r="K468" s="56" t="n"/>
      <c r="L468" s="46">
        <f>K468-J468</f>
        <v/>
      </c>
      <c r="M468" s="47" t="n"/>
      <c r="N468" s="48">
        <f>IF(A468="","",COUNTIFS(上课记录!$B:$B,A468,上课记录!$J:$J,"是"))</f>
        <v/>
      </c>
      <c r="O468" s="31">
        <f>IF(A468="","",IF(F468="次卡",MAX(0,M468-N468),"—"))</f>
        <v/>
      </c>
      <c r="P468" s="31">
        <f>IF(A468="","",IF(F468="期限卡",MAX(0,I468-TODAY()),"—"))</f>
        <v/>
      </c>
      <c r="Q468" s="31">
        <f>IF(A468="","",IF(F468="次卡",IF(OR(K468="",K468=0,M468=0),"",K468/M468),IF(F468="期限卡",IF(AND(K468&lt;&gt;"",K468&lt;&gt;0,I468&gt;H468),K468/(I468-H468),""),"")))</f>
        <v/>
      </c>
      <c r="R468" s="31">
        <f>IF(A468="","",IF(F468="次卡",IF(OR(K468="",K468=0,M468=0),"",Q468*O468),IF(F468="期限卡",IF(AND(K468&lt;&gt;"",K468&lt;&gt;0,I468&gt;H468),Q468*P468,""),"")))</f>
        <v/>
      </c>
      <c r="S468" s="58">
        <f>IF(A468="","",IFERROR(_xlfn.MAXIFS(上课记录!$D:$D,上课记录!$B:$B,A468,上课记录!$J:$J,"是"),""))</f>
        <v/>
      </c>
      <c r="T468" s="31">
        <f>IF(A468="","",IF(S468="","",TODAY()-S468))</f>
        <v/>
      </c>
      <c r="U468" s="31">
        <f>IF(A468="","",IF(OR(AND(F468="次卡",O468=0),AND(F468="期限卡",P468=0)),"已到期",IF(T468&gt;=10,"沉睡客户",IF(T468&gt;=7,"预警客户","正常"))))</f>
        <v/>
      </c>
      <c r="V468" s="11" t="n"/>
      <c r="W468" s="11" t="n"/>
    </row>
    <row r="469">
      <c r="A469" s="44" t="n"/>
      <c r="B469" s="11" t="n"/>
      <c r="C469" s="11" t="n"/>
      <c r="D469" s="11" t="n"/>
      <c r="E469" s="11" t="n"/>
      <c r="F469" s="11" t="n"/>
      <c r="G469" s="55" t="n"/>
      <c r="H469" s="55" t="n"/>
      <c r="I469" s="55" t="n"/>
      <c r="J469" s="11" t="n"/>
      <c r="K469" s="56" t="n"/>
      <c r="L469" s="46">
        <f>K469-J469</f>
        <v/>
      </c>
      <c r="M469" s="47" t="n"/>
      <c r="N469" s="48">
        <f>IF(A469="","",COUNTIFS(上课记录!$B:$B,A469,上课记录!$J:$J,"是"))</f>
        <v/>
      </c>
      <c r="O469" s="31">
        <f>IF(A469="","",IF(F469="次卡",MAX(0,M469-N469),"—"))</f>
        <v/>
      </c>
      <c r="P469" s="31">
        <f>IF(A469="","",IF(F469="期限卡",MAX(0,I469-TODAY()),"—"))</f>
        <v/>
      </c>
      <c r="Q469" s="31">
        <f>IF(A469="","",IF(F469="次卡",IF(OR(K469="",K469=0,M469=0),"",K469/M469),IF(F469="期限卡",IF(AND(K469&lt;&gt;"",K469&lt;&gt;0,I469&gt;H469),K469/(I469-H469),""),"")))</f>
        <v/>
      </c>
      <c r="R469" s="31">
        <f>IF(A469="","",IF(F469="次卡",IF(OR(K469="",K469=0,M469=0),"",Q469*O469),IF(F469="期限卡",IF(AND(K469&lt;&gt;"",K469&lt;&gt;0,I469&gt;H469),Q469*P469,""),"")))</f>
        <v/>
      </c>
      <c r="S469" s="58">
        <f>IF(A469="","",IFERROR(_xlfn.MAXIFS(上课记录!$D:$D,上课记录!$B:$B,A469,上课记录!$J:$J,"是"),""))</f>
        <v/>
      </c>
      <c r="T469" s="31">
        <f>IF(A469="","",IF(S469="","",TODAY()-S469))</f>
        <v/>
      </c>
      <c r="U469" s="31">
        <f>IF(A469="","",IF(OR(AND(F469="次卡",O469=0),AND(F469="期限卡",P469=0)),"已到期",IF(T469&gt;=10,"沉睡客户",IF(T469&gt;=7,"预警客户","正常"))))</f>
        <v/>
      </c>
      <c r="V469" s="11" t="n"/>
      <c r="W469" s="11" t="n"/>
    </row>
    <row r="470">
      <c r="A470" s="44" t="n"/>
      <c r="B470" s="11" t="n"/>
      <c r="C470" s="11" t="n"/>
      <c r="D470" s="11" t="n"/>
      <c r="E470" s="11" t="n"/>
      <c r="F470" s="11" t="n"/>
      <c r="G470" s="55" t="n"/>
      <c r="H470" s="55" t="n"/>
      <c r="I470" s="55" t="n"/>
      <c r="J470" s="11" t="n"/>
      <c r="K470" s="56" t="n"/>
      <c r="L470" s="46">
        <f>K470-J470</f>
        <v/>
      </c>
      <c r="M470" s="47" t="n"/>
      <c r="N470" s="48">
        <f>IF(A470="","",COUNTIFS(上课记录!$B:$B,A470,上课记录!$J:$J,"是"))</f>
        <v/>
      </c>
      <c r="O470" s="31">
        <f>IF(A470="","",IF(F470="次卡",MAX(0,M470-N470),"—"))</f>
        <v/>
      </c>
      <c r="P470" s="31">
        <f>IF(A470="","",IF(F470="期限卡",MAX(0,I470-TODAY()),"—"))</f>
        <v/>
      </c>
      <c r="Q470" s="31">
        <f>IF(A470="","",IF(F470="次卡",IF(OR(K470="",K470=0,M470=0),"",K470/M470),IF(F470="期限卡",IF(AND(K470&lt;&gt;"",K470&lt;&gt;0,I470&gt;H470),K470/(I470-H470),""),"")))</f>
        <v/>
      </c>
      <c r="R470" s="31">
        <f>IF(A470="","",IF(F470="次卡",IF(OR(K470="",K470=0,M470=0),"",Q470*O470),IF(F470="期限卡",IF(AND(K470&lt;&gt;"",K470&lt;&gt;0,I470&gt;H470),Q470*P470,""),"")))</f>
        <v/>
      </c>
      <c r="S470" s="58">
        <f>IF(A470="","",IFERROR(_xlfn.MAXIFS(上课记录!$D:$D,上课记录!$B:$B,A470,上课记录!$J:$J,"是"),""))</f>
        <v/>
      </c>
      <c r="T470" s="31">
        <f>IF(A470="","",IF(S470="","",TODAY()-S470))</f>
        <v/>
      </c>
      <c r="U470" s="31">
        <f>IF(A470="","",IF(OR(AND(F470="次卡",O470=0),AND(F470="期限卡",P470=0)),"已到期",IF(T470&gt;=10,"沉睡客户",IF(T470&gt;=7,"预警客户","正常"))))</f>
        <v/>
      </c>
      <c r="V470" s="11" t="n"/>
      <c r="W470" s="11" t="n"/>
    </row>
    <row r="471">
      <c r="A471" s="44" t="n"/>
      <c r="B471" s="11" t="n"/>
      <c r="C471" s="11" t="n"/>
      <c r="D471" s="11" t="n"/>
      <c r="E471" s="11" t="n"/>
      <c r="F471" s="11" t="n"/>
      <c r="G471" s="55" t="n"/>
      <c r="H471" s="55" t="n"/>
      <c r="I471" s="55" t="n"/>
      <c r="J471" s="11" t="n"/>
      <c r="K471" s="56" t="n"/>
      <c r="L471" s="46">
        <f>K471-J471</f>
        <v/>
      </c>
      <c r="M471" s="47" t="n"/>
      <c r="N471" s="48">
        <f>IF(A471="","",COUNTIFS(上课记录!$B:$B,A471,上课记录!$J:$J,"是"))</f>
        <v/>
      </c>
      <c r="O471" s="31">
        <f>IF(A471="","",IF(F471="次卡",MAX(0,M471-N471),"—"))</f>
        <v/>
      </c>
      <c r="P471" s="31">
        <f>IF(A471="","",IF(F471="期限卡",MAX(0,I471-TODAY()),"—"))</f>
        <v/>
      </c>
      <c r="Q471" s="31">
        <f>IF(A471="","",IF(F471="次卡",IF(OR(K471="",K471=0,M471=0),"",K471/M471),IF(F471="期限卡",IF(AND(K471&lt;&gt;"",K471&lt;&gt;0,I471&gt;H471),K471/(I471-H471),""),"")))</f>
        <v/>
      </c>
      <c r="R471" s="31">
        <f>IF(A471="","",IF(F471="次卡",IF(OR(K471="",K471=0,M471=0),"",Q471*O471),IF(F471="期限卡",IF(AND(K471&lt;&gt;"",K471&lt;&gt;0,I471&gt;H471),Q471*P471,""),"")))</f>
        <v/>
      </c>
      <c r="S471" s="58">
        <f>IF(A471="","",IFERROR(_xlfn.MAXIFS(上课记录!$D:$D,上课记录!$B:$B,A471,上课记录!$J:$J,"是"),""))</f>
        <v/>
      </c>
      <c r="T471" s="31">
        <f>IF(A471="","",IF(S471="","",TODAY()-S471))</f>
        <v/>
      </c>
      <c r="U471" s="31">
        <f>IF(A471="","",IF(OR(AND(F471="次卡",O471=0),AND(F471="期限卡",P471=0)),"已到期",IF(T471&gt;=10,"沉睡客户",IF(T471&gt;=7,"预警客户","正常"))))</f>
        <v/>
      </c>
      <c r="V471" s="11" t="n"/>
      <c r="W471" s="11" t="n"/>
    </row>
    <row r="472">
      <c r="A472" s="44" t="n"/>
      <c r="B472" s="11" t="n"/>
      <c r="C472" s="11" t="n"/>
      <c r="D472" s="11" t="n"/>
      <c r="E472" s="11" t="n"/>
      <c r="F472" s="11" t="n"/>
      <c r="G472" s="55" t="n"/>
      <c r="H472" s="55" t="n"/>
      <c r="I472" s="55" t="n"/>
      <c r="J472" s="11" t="n"/>
      <c r="K472" s="56" t="n"/>
      <c r="L472" s="46">
        <f>K472-J472</f>
        <v/>
      </c>
      <c r="M472" s="47" t="n"/>
      <c r="N472" s="48">
        <f>IF(A472="","",COUNTIFS(上课记录!$B:$B,A472,上课记录!$J:$J,"是"))</f>
        <v/>
      </c>
      <c r="O472" s="31">
        <f>IF(A472="","",IF(F472="次卡",MAX(0,M472-N472),"—"))</f>
        <v/>
      </c>
      <c r="P472" s="31">
        <f>IF(A472="","",IF(F472="期限卡",MAX(0,I472-TODAY()),"—"))</f>
        <v/>
      </c>
      <c r="Q472" s="31">
        <f>IF(A472="","",IF(F472="次卡",IF(OR(K472="",K472=0,M472=0),"",K472/M472),IF(F472="期限卡",IF(AND(K472&lt;&gt;"",K472&lt;&gt;0,I472&gt;H472),K472/(I472-H472),""),"")))</f>
        <v/>
      </c>
      <c r="R472" s="31">
        <f>IF(A472="","",IF(F472="次卡",IF(OR(K472="",K472=0,M472=0),"",Q472*O472),IF(F472="期限卡",IF(AND(K472&lt;&gt;"",K472&lt;&gt;0,I472&gt;H472),Q472*P472,""),"")))</f>
        <v/>
      </c>
      <c r="S472" s="58">
        <f>IF(A472="","",IFERROR(_xlfn.MAXIFS(上课记录!$D:$D,上课记录!$B:$B,A472,上课记录!$J:$J,"是"),""))</f>
        <v/>
      </c>
      <c r="T472" s="31">
        <f>IF(A472="","",IF(S472="","",TODAY()-S472))</f>
        <v/>
      </c>
      <c r="U472" s="31">
        <f>IF(A472="","",IF(OR(AND(F472="次卡",O472=0),AND(F472="期限卡",P472=0)),"已到期",IF(T472&gt;=10,"沉睡客户",IF(T472&gt;=7,"预警客户","正常"))))</f>
        <v/>
      </c>
      <c r="V472" s="11" t="n"/>
      <c r="W472" s="11" t="n"/>
    </row>
    <row r="473">
      <c r="A473" s="44" t="n"/>
      <c r="B473" s="11" t="n"/>
      <c r="C473" s="11" t="n"/>
      <c r="D473" s="11" t="n"/>
      <c r="E473" s="11" t="n"/>
      <c r="F473" s="11" t="n"/>
      <c r="G473" s="55" t="n"/>
      <c r="H473" s="55" t="n"/>
      <c r="I473" s="55" t="n"/>
      <c r="J473" s="11" t="n"/>
      <c r="K473" s="56" t="n"/>
      <c r="L473" s="46">
        <f>K473-J473</f>
        <v/>
      </c>
      <c r="M473" s="47" t="n"/>
      <c r="N473" s="48">
        <f>IF(A473="","",COUNTIFS(上课记录!$B:$B,A473,上课记录!$J:$J,"是"))</f>
        <v/>
      </c>
      <c r="O473" s="31">
        <f>IF(A473="","",IF(F473="次卡",MAX(0,M473-N473),"—"))</f>
        <v/>
      </c>
      <c r="P473" s="31">
        <f>IF(A473="","",IF(F473="期限卡",MAX(0,I473-TODAY()),"—"))</f>
        <v/>
      </c>
      <c r="Q473" s="31">
        <f>IF(A473="","",IF(F473="次卡",IF(OR(K473="",K473=0,M473=0),"",K473/M473),IF(F473="期限卡",IF(AND(K473&lt;&gt;"",K473&lt;&gt;0,I473&gt;H473),K473/(I473-H473),""),"")))</f>
        <v/>
      </c>
      <c r="R473" s="31">
        <f>IF(A473="","",IF(F473="次卡",IF(OR(K473="",K473=0,M473=0),"",Q473*O473),IF(F473="期限卡",IF(AND(K473&lt;&gt;"",K473&lt;&gt;0,I473&gt;H473),Q473*P473,""),"")))</f>
        <v/>
      </c>
      <c r="S473" s="58">
        <f>IF(A473="","",IFERROR(_xlfn.MAXIFS(上课记录!$D:$D,上课记录!$B:$B,A473,上课记录!$J:$J,"是"),""))</f>
        <v/>
      </c>
      <c r="T473" s="31">
        <f>IF(A473="","",IF(S473="","",TODAY()-S473))</f>
        <v/>
      </c>
      <c r="U473" s="31">
        <f>IF(A473="","",IF(OR(AND(F473="次卡",O473=0),AND(F473="期限卡",P473=0)),"已到期",IF(T473&gt;=10,"沉睡客户",IF(T473&gt;=7,"预警客户","正常"))))</f>
        <v/>
      </c>
      <c r="V473" s="11" t="n"/>
      <c r="W473" s="11" t="n"/>
    </row>
    <row r="474">
      <c r="A474" s="44" t="n"/>
      <c r="B474" s="11" t="n"/>
      <c r="C474" s="11" t="n"/>
      <c r="D474" s="11" t="n"/>
      <c r="E474" s="11" t="n"/>
      <c r="F474" s="11" t="n"/>
      <c r="G474" s="55" t="n"/>
      <c r="H474" s="55" t="n"/>
      <c r="I474" s="55" t="n"/>
      <c r="J474" s="11" t="n"/>
      <c r="K474" s="56" t="n"/>
      <c r="L474" s="46">
        <f>K474-J474</f>
        <v/>
      </c>
      <c r="M474" s="47" t="n"/>
      <c r="N474" s="48">
        <f>IF(A474="","",COUNTIFS(上课记录!$B:$B,A474,上课记录!$J:$J,"是"))</f>
        <v/>
      </c>
      <c r="O474" s="31">
        <f>IF(A474="","",IF(F474="次卡",MAX(0,M474-N474),"—"))</f>
        <v/>
      </c>
      <c r="P474" s="31">
        <f>IF(A474="","",IF(F474="期限卡",MAX(0,I474-TODAY()),"—"))</f>
        <v/>
      </c>
      <c r="Q474" s="31">
        <f>IF(A474="","",IF(F474="次卡",IF(OR(K474="",K474=0,M474=0),"",K474/M474),IF(F474="期限卡",IF(AND(K474&lt;&gt;"",K474&lt;&gt;0,I474&gt;H474),K474/(I474-H474),""),"")))</f>
        <v/>
      </c>
      <c r="R474" s="31">
        <f>IF(A474="","",IF(F474="次卡",IF(OR(K474="",K474=0,M474=0),"",Q474*O474),IF(F474="期限卡",IF(AND(K474&lt;&gt;"",K474&lt;&gt;0,I474&gt;H474),Q474*P474,""),"")))</f>
        <v/>
      </c>
      <c r="S474" s="58">
        <f>IF(A474="","",IFERROR(_xlfn.MAXIFS(上课记录!$D:$D,上课记录!$B:$B,A474,上课记录!$J:$J,"是"),""))</f>
        <v/>
      </c>
      <c r="T474" s="31">
        <f>IF(A474="","",IF(S474="","",TODAY()-S474))</f>
        <v/>
      </c>
      <c r="U474" s="31">
        <f>IF(A474="","",IF(OR(AND(F474="次卡",O474=0),AND(F474="期限卡",P474=0)),"已到期",IF(T474&gt;=10,"沉睡客户",IF(T474&gt;=7,"预警客户","正常"))))</f>
        <v/>
      </c>
      <c r="V474" s="11" t="n"/>
      <c r="W474" s="11" t="n"/>
    </row>
    <row r="475">
      <c r="A475" s="44" t="n"/>
      <c r="B475" s="11" t="n"/>
      <c r="C475" s="11" t="n"/>
      <c r="D475" s="11" t="n"/>
      <c r="E475" s="11" t="n"/>
      <c r="F475" s="11" t="n"/>
      <c r="G475" s="55" t="n"/>
      <c r="H475" s="55" t="n"/>
      <c r="I475" s="55" t="n"/>
      <c r="J475" s="11" t="n"/>
      <c r="K475" s="56" t="n"/>
      <c r="L475" s="46">
        <f>K475-J475</f>
        <v/>
      </c>
      <c r="M475" s="47" t="n"/>
      <c r="N475" s="48">
        <f>IF(A475="","",COUNTIFS(上课记录!$B:$B,A475,上课记录!$J:$J,"是"))</f>
        <v/>
      </c>
      <c r="O475" s="31">
        <f>IF(A475="","",IF(F475="次卡",MAX(0,M475-N475),"—"))</f>
        <v/>
      </c>
      <c r="P475" s="31">
        <f>IF(A475="","",IF(F475="期限卡",MAX(0,I475-TODAY()),"—"))</f>
        <v/>
      </c>
      <c r="Q475" s="31">
        <f>IF(A475="","",IF(F475="次卡",IF(OR(K475="",K475=0,M475=0),"",K475/M475),IF(F475="期限卡",IF(AND(K475&lt;&gt;"",K475&lt;&gt;0,I475&gt;H475),K475/(I475-H475),""),"")))</f>
        <v/>
      </c>
      <c r="R475" s="31">
        <f>IF(A475="","",IF(F475="次卡",IF(OR(K475="",K475=0,M475=0),"",Q475*O475),IF(F475="期限卡",IF(AND(K475&lt;&gt;"",K475&lt;&gt;0,I475&gt;H475),Q475*P475,""),"")))</f>
        <v/>
      </c>
      <c r="S475" s="58">
        <f>IF(A475="","",IFERROR(_xlfn.MAXIFS(上课记录!$D:$D,上课记录!$B:$B,A475,上课记录!$J:$J,"是"),""))</f>
        <v/>
      </c>
      <c r="T475" s="31">
        <f>IF(A475="","",IF(S475="","",TODAY()-S475))</f>
        <v/>
      </c>
      <c r="U475" s="31">
        <f>IF(A475="","",IF(OR(AND(F475="次卡",O475=0),AND(F475="期限卡",P475=0)),"已到期",IF(T475&gt;=10,"沉睡客户",IF(T475&gt;=7,"预警客户","正常"))))</f>
        <v/>
      </c>
      <c r="V475" s="11" t="n"/>
      <c r="W475" s="11" t="n"/>
    </row>
    <row r="476">
      <c r="A476" s="44" t="n"/>
      <c r="B476" s="11" t="n"/>
      <c r="C476" s="11" t="n"/>
      <c r="D476" s="11" t="n"/>
      <c r="E476" s="11" t="n"/>
      <c r="F476" s="11" t="n"/>
      <c r="G476" s="55" t="n"/>
      <c r="H476" s="55" t="n"/>
      <c r="I476" s="55" t="n"/>
      <c r="J476" s="11" t="n"/>
      <c r="K476" s="56" t="n"/>
      <c r="L476" s="46">
        <f>K476-J476</f>
        <v/>
      </c>
      <c r="M476" s="47" t="n"/>
      <c r="N476" s="48">
        <f>IF(A476="","",COUNTIFS(上课记录!$B:$B,A476,上课记录!$J:$J,"是"))</f>
        <v/>
      </c>
      <c r="O476" s="31">
        <f>IF(A476="","",IF(F476="次卡",MAX(0,M476-N476),"—"))</f>
        <v/>
      </c>
      <c r="P476" s="31">
        <f>IF(A476="","",IF(F476="期限卡",MAX(0,I476-TODAY()),"—"))</f>
        <v/>
      </c>
      <c r="Q476" s="31">
        <f>IF(A476="","",IF(F476="次卡",IF(OR(K476="",K476=0,M476=0),"",K476/M476),IF(F476="期限卡",IF(AND(K476&lt;&gt;"",K476&lt;&gt;0,I476&gt;H476),K476/(I476-H476),""),"")))</f>
        <v/>
      </c>
      <c r="R476" s="31">
        <f>IF(A476="","",IF(F476="次卡",IF(OR(K476="",K476=0,M476=0),"",Q476*O476),IF(F476="期限卡",IF(AND(K476&lt;&gt;"",K476&lt;&gt;0,I476&gt;H476),Q476*P476,""),"")))</f>
        <v/>
      </c>
      <c r="S476" s="58">
        <f>IF(A476="","",IFERROR(_xlfn.MAXIFS(上课记录!$D:$D,上课记录!$B:$B,A476,上课记录!$J:$J,"是"),""))</f>
        <v/>
      </c>
      <c r="T476" s="31">
        <f>IF(A476="","",IF(S476="","",TODAY()-S476))</f>
        <v/>
      </c>
      <c r="U476" s="31">
        <f>IF(A476="","",IF(OR(AND(F476="次卡",O476=0),AND(F476="期限卡",P476=0)),"已到期",IF(T476&gt;=10,"沉睡客户",IF(T476&gt;=7,"预警客户","正常"))))</f>
        <v/>
      </c>
      <c r="V476" s="11" t="n"/>
      <c r="W476" s="11" t="n"/>
    </row>
    <row r="477">
      <c r="A477" s="44" t="n"/>
      <c r="B477" s="11" t="n"/>
      <c r="C477" s="11" t="n"/>
      <c r="D477" s="11" t="n"/>
      <c r="E477" s="11" t="n"/>
      <c r="F477" s="11" t="n"/>
      <c r="G477" s="55" t="n"/>
      <c r="H477" s="55" t="n"/>
      <c r="I477" s="55" t="n"/>
      <c r="J477" s="11" t="n"/>
      <c r="K477" s="56" t="n"/>
      <c r="L477" s="46">
        <f>K477-J477</f>
        <v/>
      </c>
      <c r="M477" s="47" t="n"/>
      <c r="N477" s="48">
        <f>IF(A477="","",COUNTIFS(上课记录!$B:$B,A477,上课记录!$J:$J,"是"))</f>
        <v/>
      </c>
      <c r="O477" s="31">
        <f>IF(A477="","",IF(F477="次卡",MAX(0,M477-N477),"—"))</f>
        <v/>
      </c>
      <c r="P477" s="31">
        <f>IF(A477="","",IF(F477="期限卡",MAX(0,I477-TODAY()),"—"))</f>
        <v/>
      </c>
      <c r="Q477" s="31">
        <f>IF(A477="","",IF(F477="次卡",IF(OR(K477="",K477=0,M477=0),"",K477/M477),IF(F477="期限卡",IF(AND(K477&lt;&gt;"",K477&lt;&gt;0,I477&gt;H477),K477/(I477-H477),""),"")))</f>
        <v/>
      </c>
      <c r="R477" s="31">
        <f>IF(A477="","",IF(F477="次卡",IF(OR(K477="",K477=0,M477=0),"",Q477*O477),IF(F477="期限卡",IF(AND(K477&lt;&gt;"",K477&lt;&gt;0,I477&gt;H477),Q477*P477,""),"")))</f>
        <v/>
      </c>
      <c r="S477" s="58">
        <f>IF(A477="","",IFERROR(_xlfn.MAXIFS(上课记录!$D:$D,上课记录!$B:$B,A477,上课记录!$J:$J,"是"),""))</f>
        <v/>
      </c>
      <c r="T477" s="31">
        <f>IF(A477="","",IF(S477="","",TODAY()-S477))</f>
        <v/>
      </c>
      <c r="U477" s="31">
        <f>IF(A477="","",IF(OR(AND(F477="次卡",O477=0),AND(F477="期限卡",P477=0)),"已到期",IF(T477&gt;=10,"沉睡客户",IF(T477&gt;=7,"预警客户","正常"))))</f>
        <v/>
      </c>
      <c r="V477" s="11" t="n"/>
      <c r="W477" s="11" t="n"/>
    </row>
    <row r="478">
      <c r="A478" s="44" t="n"/>
      <c r="B478" s="11" t="n"/>
      <c r="C478" s="11" t="n"/>
      <c r="D478" s="11" t="n"/>
      <c r="E478" s="11" t="n"/>
      <c r="F478" s="11" t="n"/>
      <c r="G478" s="55" t="n"/>
      <c r="H478" s="55" t="n"/>
      <c r="I478" s="55" t="n"/>
      <c r="J478" s="11" t="n"/>
      <c r="K478" s="56" t="n"/>
      <c r="L478" s="46">
        <f>K478-J478</f>
        <v/>
      </c>
      <c r="M478" s="47" t="n"/>
      <c r="N478" s="48">
        <f>IF(A478="","",COUNTIFS(上课记录!$B:$B,A478,上课记录!$J:$J,"是"))</f>
        <v/>
      </c>
      <c r="O478" s="31">
        <f>IF(A478="","",IF(F478="次卡",MAX(0,M478-N478),"—"))</f>
        <v/>
      </c>
      <c r="P478" s="31">
        <f>IF(A478="","",IF(F478="期限卡",MAX(0,I478-TODAY()),"—"))</f>
        <v/>
      </c>
      <c r="Q478" s="31">
        <f>IF(A478="","",IF(F478="次卡",IF(OR(K478="",K478=0,M478=0),"",K478/M478),IF(F478="期限卡",IF(AND(K478&lt;&gt;"",K478&lt;&gt;0,I478&gt;H478),K478/(I478-H478),""),"")))</f>
        <v/>
      </c>
      <c r="R478" s="31">
        <f>IF(A478="","",IF(F478="次卡",IF(OR(K478="",K478=0,M478=0),"",Q478*O478),IF(F478="期限卡",IF(AND(K478&lt;&gt;"",K478&lt;&gt;0,I478&gt;H478),Q478*P478,""),"")))</f>
        <v/>
      </c>
      <c r="S478" s="58">
        <f>IF(A478="","",IFERROR(_xlfn.MAXIFS(上课记录!$D:$D,上课记录!$B:$B,A478,上课记录!$J:$J,"是"),""))</f>
        <v/>
      </c>
      <c r="T478" s="31">
        <f>IF(A478="","",IF(S478="","",TODAY()-S478))</f>
        <v/>
      </c>
      <c r="U478" s="31">
        <f>IF(A478="","",IF(OR(AND(F478="次卡",O478=0),AND(F478="期限卡",P478=0)),"已到期",IF(T478&gt;=10,"沉睡客户",IF(T478&gt;=7,"预警客户","正常"))))</f>
        <v/>
      </c>
      <c r="V478" s="11" t="n"/>
      <c r="W478" s="11" t="n"/>
    </row>
    <row r="479">
      <c r="A479" s="44" t="n"/>
      <c r="B479" s="11" t="n"/>
      <c r="C479" s="11" t="n"/>
      <c r="D479" s="11" t="n"/>
      <c r="E479" s="11" t="n"/>
      <c r="F479" s="11" t="n"/>
      <c r="G479" s="55" t="n"/>
      <c r="H479" s="55" t="n"/>
      <c r="I479" s="55" t="n"/>
      <c r="J479" s="11" t="n"/>
      <c r="K479" s="56" t="n"/>
      <c r="L479" s="46">
        <f>K479-J479</f>
        <v/>
      </c>
      <c r="M479" s="47" t="n"/>
      <c r="N479" s="48">
        <f>IF(A479="","",COUNTIFS(上课记录!$B:$B,A479,上课记录!$J:$J,"是"))</f>
        <v/>
      </c>
      <c r="O479" s="31">
        <f>IF(A479="","",IF(F479="次卡",MAX(0,M479-N479),"—"))</f>
        <v/>
      </c>
      <c r="P479" s="31">
        <f>IF(A479="","",IF(F479="期限卡",MAX(0,I479-TODAY()),"—"))</f>
        <v/>
      </c>
      <c r="Q479" s="31">
        <f>IF(A479="","",IF(F479="次卡",IF(OR(K479="",K479=0,M479=0),"",K479/M479),IF(F479="期限卡",IF(AND(K479&lt;&gt;"",K479&lt;&gt;0,I479&gt;H479),K479/(I479-H479),""),"")))</f>
        <v/>
      </c>
      <c r="R479" s="31">
        <f>IF(A479="","",IF(F479="次卡",IF(OR(K479="",K479=0,M479=0),"",Q479*O479),IF(F479="期限卡",IF(AND(K479&lt;&gt;"",K479&lt;&gt;0,I479&gt;H479),Q479*P479,""),"")))</f>
        <v/>
      </c>
      <c r="S479" s="58">
        <f>IF(A479="","",IFERROR(_xlfn.MAXIFS(上课记录!$D:$D,上课记录!$B:$B,A479,上课记录!$J:$J,"是"),""))</f>
        <v/>
      </c>
      <c r="T479" s="31">
        <f>IF(A479="","",IF(S479="","",TODAY()-S479))</f>
        <v/>
      </c>
      <c r="U479" s="31">
        <f>IF(A479="","",IF(OR(AND(F479="次卡",O479=0),AND(F479="期限卡",P479=0)),"已到期",IF(T479&gt;=10,"沉睡客户",IF(T479&gt;=7,"预警客户","正常"))))</f>
        <v/>
      </c>
      <c r="V479" s="11" t="n"/>
      <c r="W479" s="11" t="n"/>
    </row>
    <row r="480">
      <c r="A480" s="44" t="n"/>
      <c r="B480" s="11" t="n"/>
      <c r="C480" s="11" t="n"/>
      <c r="D480" s="11" t="n"/>
      <c r="E480" s="11" t="n"/>
      <c r="F480" s="11" t="n"/>
      <c r="G480" s="55" t="n"/>
      <c r="H480" s="55" t="n"/>
      <c r="I480" s="55" t="n"/>
      <c r="J480" s="11" t="n"/>
      <c r="K480" s="56" t="n"/>
      <c r="L480" s="46">
        <f>K480-J480</f>
        <v/>
      </c>
      <c r="M480" s="47" t="n"/>
      <c r="N480" s="48">
        <f>IF(A480="","",COUNTIFS(上课记录!$B:$B,A480,上课记录!$J:$J,"是"))</f>
        <v/>
      </c>
      <c r="O480" s="31">
        <f>IF(A480="","",IF(F480="次卡",MAX(0,M480-N480),"—"))</f>
        <v/>
      </c>
      <c r="P480" s="31">
        <f>IF(A480="","",IF(F480="期限卡",MAX(0,I480-TODAY()),"—"))</f>
        <v/>
      </c>
      <c r="Q480" s="31">
        <f>IF(A480="","",IF(F480="次卡",IF(OR(K480="",K480=0,M480=0),"",K480/M480),IF(F480="期限卡",IF(AND(K480&lt;&gt;"",K480&lt;&gt;0,I480&gt;H480),K480/(I480-H480),""),"")))</f>
        <v/>
      </c>
      <c r="R480" s="31">
        <f>IF(A480="","",IF(F480="次卡",IF(OR(K480="",K480=0,M480=0),"",Q480*O480),IF(F480="期限卡",IF(AND(K480&lt;&gt;"",K480&lt;&gt;0,I480&gt;H480),Q480*P480,""),"")))</f>
        <v/>
      </c>
      <c r="S480" s="58">
        <f>IF(A480="","",IFERROR(_xlfn.MAXIFS(上课记录!$D:$D,上课记录!$B:$B,A480,上课记录!$J:$J,"是"),""))</f>
        <v/>
      </c>
      <c r="T480" s="31">
        <f>IF(A480="","",IF(S480="","",TODAY()-S480))</f>
        <v/>
      </c>
      <c r="U480" s="31">
        <f>IF(A480="","",IF(OR(AND(F480="次卡",O480=0),AND(F480="期限卡",P480=0)),"已到期",IF(T480&gt;=10,"沉睡客户",IF(T480&gt;=7,"预警客户","正常"))))</f>
        <v/>
      </c>
      <c r="V480" s="11" t="n"/>
      <c r="W480" s="11" t="n"/>
    </row>
    <row r="481">
      <c r="A481" s="44" t="n"/>
      <c r="B481" s="11" t="n"/>
      <c r="C481" s="11" t="n"/>
      <c r="D481" s="11" t="n"/>
      <c r="E481" s="11" t="n"/>
      <c r="F481" s="11" t="n"/>
      <c r="G481" s="55" t="n"/>
      <c r="H481" s="55" t="n"/>
      <c r="I481" s="55" t="n"/>
      <c r="J481" s="11" t="n"/>
      <c r="K481" s="56" t="n"/>
      <c r="L481" s="46">
        <f>K481-J481</f>
        <v/>
      </c>
      <c r="M481" s="47" t="n"/>
      <c r="N481" s="48">
        <f>IF(A481="","",COUNTIFS(上课记录!$B:$B,A481,上课记录!$J:$J,"是"))</f>
        <v/>
      </c>
      <c r="O481" s="31">
        <f>IF(A481="","",IF(F481="次卡",MAX(0,M481-N481),"—"))</f>
        <v/>
      </c>
      <c r="P481" s="31">
        <f>IF(A481="","",IF(F481="期限卡",MAX(0,I481-TODAY()),"—"))</f>
        <v/>
      </c>
      <c r="Q481" s="31">
        <f>IF(A481="","",IF(F481="次卡",IF(OR(K481="",K481=0,M481=0),"",K481/M481),IF(F481="期限卡",IF(AND(K481&lt;&gt;"",K481&lt;&gt;0,I481&gt;H481),K481/(I481-H481),""),"")))</f>
        <v/>
      </c>
      <c r="R481" s="31">
        <f>IF(A481="","",IF(F481="次卡",IF(OR(K481="",K481=0,M481=0),"",Q481*O481),IF(F481="期限卡",IF(AND(K481&lt;&gt;"",K481&lt;&gt;0,I481&gt;H481),Q481*P481,""),"")))</f>
        <v/>
      </c>
      <c r="S481" s="58">
        <f>IF(A481="","",IFERROR(_xlfn.MAXIFS(上课记录!$D:$D,上课记录!$B:$B,A481,上课记录!$J:$J,"是"),""))</f>
        <v/>
      </c>
      <c r="T481" s="31">
        <f>IF(A481="","",IF(S481="","",TODAY()-S481))</f>
        <v/>
      </c>
      <c r="U481" s="31">
        <f>IF(A481="","",IF(OR(AND(F481="次卡",O481=0),AND(F481="期限卡",P481=0)),"已到期",IF(T481&gt;=10,"沉睡客户",IF(T481&gt;=7,"预警客户","正常"))))</f>
        <v/>
      </c>
      <c r="V481" s="11" t="n"/>
      <c r="W481" s="11" t="n"/>
    </row>
    <row r="482">
      <c r="A482" s="44" t="n"/>
      <c r="B482" s="11" t="n"/>
      <c r="C482" s="11" t="n"/>
      <c r="D482" s="11" t="n"/>
      <c r="E482" s="11" t="n"/>
      <c r="F482" s="11" t="n"/>
      <c r="G482" s="55" t="n"/>
      <c r="H482" s="55" t="n"/>
      <c r="I482" s="55" t="n"/>
      <c r="J482" s="11" t="n"/>
      <c r="K482" s="56" t="n"/>
      <c r="L482" s="46">
        <f>K482-J482</f>
        <v/>
      </c>
      <c r="M482" s="47" t="n"/>
      <c r="N482" s="48">
        <f>IF(A482="","",COUNTIFS(上课记录!$B:$B,A482,上课记录!$J:$J,"是"))</f>
        <v/>
      </c>
      <c r="O482" s="31">
        <f>IF(A482="","",IF(F482="次卡",MAX(0,M482-N482),"—"))</f>
        <v/>
      </c>
      <c r="P482" s="31">
        <f>IF(A482="","",IF(F482="期限卡",MAX(0,I482-TODAY()),"—"))</f>
        <v/>
      </c>
      <c r="Q482" s="31">
        <f>IF(A482="","",IF(F482="次卡",IF(OR(K482="",K482=0,M482=0),"",K482/M482),IF(F482="期限卡",IF(AND(K482&lt;&gt;"",K482&lt;&gt;0,I482&gt;H482),K482/(I482-H482),""),"")))</f>
        <v/>
      </c>
      <c r="R482" s="31">
        <f>IF(A482="","",IF(F482="次卡",IF(OR(K482="",K482=0,M482=0),"",Q482*O482),IF(F482="期限卡",IF(AND(K482&lt;&gt;"",K482&lt;&gt;0,I482&gt;H482),Q482*P482,""),"")))</f>
        <v/>
      </c>
      <c r="S482" s="58">
        <f>IF(A482="","",IFERROR(_xlfn.MAXIFS(上课记录!$D:$D,上课记录!$B:$B,A482,上课记录!$J:$J,"是"),""))</f>
        <v/>
      </c>
      <c r="T482" s="31">
        <f>IF(A482="","",IF(S482="","",TODAY()-S482))</f>
        <v/>
      </c>
      <c r="U482" s="31">
        <f>IF(A482="","",IF(OR(AND(F482="次卡",O482=0),AND(F482="期限卡",P482=0)),"已到期",IF(T482&gt;=10,"沉睡客户",IF(T482&gt;=7,"预警客户","正常"))))</f>
        <v/>
      </c>
      <c r="V482" s="11" t="n"/>
      <c r="W482" s="11" t="n"/>
    </row>
    <row r="483">
      <c r="A483" s="44" t="n"/>
      <c r="B483" s="11" t="n"/>
      <c r="C483" s="11" t="n"/>
      <c r="D483" s="11" t="n"/>
      <c r="E483" s="11" t="n"/>
      <c r="F483" s="11" t="n"/>
      <c r="G483" s="55" t="n"/>
      <c r="H483" s="55" t="n"/>
      <c r="I483" s="55" t="n"/>
      <c r="J483" s="11" t="n"/>
      <c r="K483" s="56" t="n"/>
      <c r="L483" s="46">
        <f>K483-J483</f>
        <v/>
      </c>
      <c r="M483" s="47" t="n"/>
      <c r="N483" s="48">
        <f>IF(A483="","",COUNTIFS(上课记录!$B:$B,A483,上课记录!$J:$J,"是"))</f>
        <v/>
      </c>
      <c r="O483" s="31">
        <f>IF(A483="","",IF(F483="次卡",MAX(0,M483-N483),"—"))</f>
        <v/>
      </c>
      <c r="P483" s="31">
        <f>IF(A483="","",IF(F483="期限卡",MAX(0,I483-TODAY()),"—"))</f>
        <v/>
      </c>
      <c r="Q483" s="31">
        <f>IF(A483="","",IF(F483="次卡",IF(OR(K483="",K483=0,M483=0),"",K483/M483),IF(F483="期限卡",IF(AND(K483&lt;&gt;"",K483&lt;&gt;0,I483&gt;H483),K483/(I483-H483),""),"")))</f>
        <v/>
      </c>
      <c r="R483" s="31">
        <f>IF(A483="","",IF(F483="次卡",IF(OR(K483="",K483=0,M483=0),"",Q483*O483),IF(F483="期限卡",IF(AND(K483&lt;&gt;"",K483&lt;&gt;0,I483&gt;H483),Q483*P483,""),"")))</f>
        <v/>
      </c>
      <c r="S483" s="58">
        <f>IF(A483="","",IFERROR(_xlfn.MAXIFS(上课记录!$D:$D,上课记录!$B:$B,A483,上课记录!$J:$J,"是"),""))</f>
        <v/>
      </c>
      <c r="T483" s="31">
        <f>IF(A483="","",IF(S483="","",TODAY()-S483))</f>
        <v/>
      </c>
      <c r="U483" s="31">
        <f>IF(A483="","",IF(OR(AND(F483="次卡",O483=0),AND(F483="期限卡",P483=0)),"已到期",IF(T483&gt;=10,"沉睡客户",IF(T483&gt;=7,"预警客户","正常"))))</f>
        <v/>
      </c>
      <c r="V483" s="11" t="n"/>
      <c r="W483" s="11" t="n"/>
    </row>
    <row r="484">
      <c r="A484" s="44" t="n"/>
      <c r="B484" s="11" t="n"/>
      <c r="C484" s="11" t="n"/>
      <c r="D484" s="11" t="n"/>
      <c r="E484" s="11" t="n"/>
      <c r="F484" s="11" t="n"/>
      <c r="G484" s="55" t="n"/>
      <c r="H484" s="55" t="n"/>
      <c r="I484" s="55" t="n"/>
      <c r="J484" s="11" t="n"/>
      <c r="K484" s="56" t="n"/>
      <c r="L484" s="46">
        <f>K484-J484</f>
        <v/>
      </c>
      <c r="M484" s="47" t="n"/>
      <c r="N484" s="48">
        <f>IF(A484="","",COUNTIFS(上课记录!$B:$B,A484,上课记录!$J:$J,"是"))</f>
        <v/>
      </c>
      <c r="O484" s="31">
        <f>IF(A484="","",IF(F484="次卡",MAX(0,M484-N484),"—"))</f>
        <v/>
      </c>
      <c r="P484" s="31">
        <f>IF(A484="","",IF(F484="期限卡",MAX(0,I484-TODAY()),"—"))</f>
        <v/>
      </c>
      <c r="Q484" s="31">
        <f>IF(A484="","",IF(F484="次卡",IF(OR(K484="",K484=0,M484=0),"",K484/M484),IF(F484="期限卡",IF(AND(K484&lt;&gt;"",K484&lt;&gt;0,I484&gt;H484),K484/(I484-H484),""),"")))</f>
        <v/>
      </c>
      <c r="R484" s="31">
        <f>IF(A484="","",IF(F484="次卡",IF(OR(K484="",K484=0,M484=0),"",Q484*O484),IF(F484="期限卡",IF(AND(K484&lt;&gt;"",K484&lt;&gt;0,I484&gt;H484),Q484*P484,""),"")))</f>
        <v/>
      </c>
      <c r="S484" s="58">
        <f>IF(A484="","",IFERROR(_xlfn.MAXIFS(上课记录!$D:$D,上课记录!$B:$B,A484,上课记录!$J:$J,"是"),""))</f>
        <v/>
      </c>
      <c r="T484" s="31">
        <f>IF(A484="","",IF(S484="","",TODAY()-S484))</f>
        <v/>
      </c>
      <c r="U484" s="31">
        <f>IF(A484="","",IF(OR(AND(F484="次卡",O484=0),AND(F484="期限卡",P484=0)),"已到期",IF(T484&gt;=10,"沉睡客户",IF(T484&gt;=7,"预警客户","正常"))))</f>
        <v/>
      </c>
      <c r="V484" s="11" t="n"/>
      <c r="W484" s="11" t="n"/>
    </row>
    <row r="485">
      <c r="A485" s="44" t="n"/>
      <c r="B485" s="11" t="n"/>
      <c r="C485" s="11" t="n"/>
      <c r="D485" s="11" t="n"/>
      <c r="E485" s="11" t="n"/>
      <c r="F485" s="11" t="n"/>
      <c r="G485" s="55" t="n"/>
      <c r="H485" s="55" t="n"/>
      <c r="I485" s="55" t="n"/>
      <c r="J485" s="11" t="n"/>
      <c r="K485" s="56" t="n"/>
      <c r="L485" s="46">
        <f>K485-J485</f>
        <v/>
      </c>
      <c r="M485" s="47" t="n"/>
      <c r="N485" s="48">
        <f>IF(A485="","",COUNTIFS(上课记录!$B:$B,A485,上课记录!$J:$J,"是"))</f>
        <v/>
      </c>
      <c r="O485" s="31">
        <f>IF(A485="","",IF(F485="次卡",MAX(0,M485-N485),"—"))</f>
        <v/>
      </c>
      <c r="P485" s="31">
        <f>IF(A485="","",IF(F485="期限卡",MAX(0,I485-TODAY()),"—"))</f>
        <v/>
      </c>
      <c r="Q485" s="31">
        <f>IF(A485="","",IF(F485="次卡",IF(OR(K485="",K485=0,M485=0),"",K485/M485),IF(F485="期限卡",IF(AND(K485&lt;&gt;"",K485&lt;&gt;0,I485&gt;H485),K485/(I485-H485),""),"")))</f>
        <v/>
      </c>
      <c r="R485" s="31">
        <f>IF(A485="","",IF(F485="次卡",IF(OR(K485="",K485=0,M485=0),"",Q485*O485),IF(F485="期限卡",IF(AND(K485&lt;&gt;"",K485&lt;&gt;0,I485&gt;H485),Q485*P485,""),"")))</f>
        <v/>
      </c>
      <c r="S485" s="58">
        <f>IF(A485="","",IFERROR(_xlfn.MAXIFS(上课记录!$D:$D,上课记录!$B:$B,A485,上课记录!$J:$J,"是"),""))</f>
        <v/>
      </c>
      <c r="T485" s="31">
        <f>IF(A485="","",IF(S485="","",TODAY()-S485))</f>
        <v/>
      </c>
      <c r="U485" s="31">
        <f>IF(A485="","",IF(OR(AND(F485="次卡",O485=0),AND(F485="期限卡",P485=0)),"已到期",IF(T485&gt;=10,"沉睡客户",IF(T485&gt;=7,"预警客户","正常"))))</f>
        <v/>
      </c>
      <c r="V485" s="11" t="n"/>
      <c r="W485" s="11" t="n"/>
    </row>
    <row r="486">
      <c r="A486" s="44" t="n"/>
      <c r="B486" s="11" t="n"/>
      <c r="C486" s="11" t="n"/>
      <c r="D486" s="11" t="n"/>
      <c r="E486" s="11" t="n"/>
      <c r="F486" s="11" t="n"/>
      <c r="G486" s="55" t="n"/>
      <c r="H486" s="55" t="n"/>
      <c r="I486" s="55" t="n"/>
      <c r="J486" s="11" t="n"/>
      <c r="K486" s="56" t="n"/>
      <c r="L486" s="46">
        <f>K486-J486</f>
        <v/>
      </c>
      <c r="M486" s="47" t="n"/>
      <c r="N486" s="48">
        <f>IF(A486="","",COUNTIFS(上课记录!$B:$B,A486,上课记录!$J:$J,"是"))</f>
        <v/>
      </c>
      <c r="O486" s="31">
        <f>IF(A486="","",IF(F486="次卡",MAX(0,M486-N486),"—"))</f>
        <v/>
      </c>
      <c r="P486" s="31">
        <f>IF(A486="","",IF(F486="期限卡",MAX(0,I486-TODAY()),"—"))</f>
        <v/>
      </c>
      <c r="Q486" s="31">
        <f>IF(A486="","",IF(F486="次卡",IF(OR(K486="",K486=0,M486=0),"",K486/M486),IF(F486="期限卡",IF(AND(K486&lt;&gt;"",K486&lt;&gt;0,I486&gt;H486),K486/(I486-H486),""),"")))</f>
        <v/>
      </c>
      <c r="R486" s="31">
        <f>IF(A486="","",IF(F486="次卡",IF(OR(K486="",K486=0,M486=0),"",Q486*O486),IF(F486="期限卡",IF(AND(K486&lt;&gt;"",K486&lt;&gt;0,I486&gt;H486),Q486*P486,""),"")))</f>
        <v/>
      </c>
      <c r="S486" s="58">
        <f>IF(A486="","",IFERROR(_xlfn.MAXIFS(上课记录!$D:$D,上课记录!$B:$B,A486,上课记录!$J:$J,"是"),""))</f>
        <v/>
      </c>
      <c r="T486" s="31">
        <f>IF(A486="","",IF(S486="","",TODAY()-S486))</f>
        <v/>
      </c>
      <c r="U486" s="31">
        <f>IF(A486="","",IF(OR(AND(F486="次卡",O486=0),AND(F486="期限卡",P486=0)),"已到期",IF(T486&gt;=10,"沉睡客户",IF(T486&gt;=7,"预警客户","正常"))))</f>
        <v/>
      </c>
      <c r="V486" s="11" t="n"/>
      <c r="W486" s="11" t="n"/>
    </row>
    <row r="487">
      <c r="A487" s="44" t="n"/>
      <c r="B487" s="11" t="n"/>
      <c r="C487" s="11" t="n"/>
      <c r="D487" s="11" t="n"/>
      <c r="E487" s="11" t="n"/>
      <c r="F487" s="11" t="n"/>
      <c r="G487" s="55" t="n"/>
      <c r="H487" s="55" t="n"/>
      <c r="I487" s="55" t="n"/>
      <c r="J487" s="11" t="n"/>
      <c r="K487" s="56" t="n"/>
      <c r="L487" s="46">
        <f>K487-J487</f>
        <v/>
      </c>
      <c r="M487" s="47" t="n"/>
      <c r="N487" s="48">
        <f>IF(A487="","",COUNTIFS(上课记录!$B:$B,A487,上课记录!$J:$J,"是"))</f>
        <v/>
      </c>
      <c r="O487" s="31">
        <f>IF(A487="","",IF(F487="次卡",MAX(0,M487-N487),"—"))</f>
        <v/>
      </c>
      <c r="P487" s="31">
        <f>IF(A487="","",IF(F487="期限卡",MAX(0,I487-TODAY()),"—"))</f>
        <v/>
      </c>
      <c r="Q487" s="31">
        <f>IF(A487="","",IF(F487="次卡",IF(OR(K487="",K487=0,M487=0),"",K487/M487),IF(F487="期限卡",IF(AND(K487&lt;&gt;"",K487&lt;&gt;0,I487&gt;H487),K487/(I487-H487),""),"")))</f>
        <v/>
      </c>
      <c r="R487" s="31">
        <f>IF(A487="","",IF(F487="次卡",IF(OR(K487="",K487=0,M487=0),"",Q487*O487),IF(F487="期限卡",IF(AND(K487&lt;&gt;"",K487&lt;&gt;0,I487&gt;H487),Q487*P487,""),"")))</f>
        <v/>
      </c>
      <c r="S487" s="58">
        <f>IF(A487="","",IFERROR(_xlfn.MAXIFS(上课记录!$D:$D,上课记录!$B:$B,A487,上课记录!$J:$J,"是"),""))</f>
        <v/>
      </c>
      <c r="T487" s="31">
        <f>IF(A487="","",IF(S487="","",TODAY()-S487))</f>
        <v/>
      </c>
      <c r="U487" s="31">
        <f>IF(A487="","",IF(OR(AND(F487="次卡",O487=0),AND(F487="期限卡",P487=0)),"已到期",IF(T487&gt;=10,"沉睡客户",IF(T487&gt;=7,"预警客户","正常"))))</f>
        <v/>
      </c>
      <c r="V487" s="11" t="n"/>
      <c r="W487" s="11" t="n"/>
    </row>
    <row r="488">
      <c r="A488" s="44" t="n"/>
      <c r="B488" s="11" t="n"/>
      <c r="C488" s="11" t="n"/>
      <c r="D488" s="11" t="n"/>
      <c r="E488" s="11" t="n"/>
      <c r="F488" s="11" t="n"/>
      <c r="G488" s="55" t="n"/>
      <c r="H488" s="55" t="n"/>
      <c r="I488" s="55" t="n"/>
      <c r="J488" s="11" t="n"/>
      <c r="K488" s="56" t="n"/>
      <c r="L488" s="46">
        <f>K488-J488</f>
        <v/>
      </c>
      <c r="M488" s="47" t="n"/>
      <c r="N488" s="48">
        <f>IF(A488="","",COUNTIFS(上课记录!$B:$B,A488,上课记录!$J:$J,"是"))</f>
        <v/>
      </c>
      <c r="O488" s="31">
        <f>IF(A488="","",IF(F488="次卡",MAX(0,M488-N488),"—"))</f>
        <v/>
      </c>
      <c r="P488" s="31">
        <f>IF(A488="","",IF(F488="期限卡",MAX(0,I488-TODAY()),"—"))</f>
        <v/>
      </c>
      <c r="Q488" s="31">
        <f>IF(A488="","",IF(F488="次卡",IF(OR(K488="",K488=0,M488=0),"",K488/M488),IF(F488="期限卡",IF(AND(K488&lt;&gt;"",K488&lt;&gt;0,I488&gt;H488),K488/(I488-H488),""),"")))</f>
        <v/>
      </c>
      <c r="R488" s="31">
        <f>IF(A488="","",IF(F488="次卡",IF(OR(K488="",K488=0,M488=0),"",Q488*O488),IF(F488="期限卡",IF(AND(K488&lt;&gt;"",K488&lt;&gt;0,I488&gt;H488),Q488*P488,""),"")))</f>
        <v/>
      </c>
      <c r="S488" s="58">
        <f>IF(A488="","",IFERROR(_xlfn.MAXIFS(上课记录!$D:$D,上课记录!$B:$B,A488,上课记录!$J:$J,"是"),""))</f>
        <v/>
      </c>
      <c r="T488" s="31">
        <f>IF(A488="","",IF(S488="","",TODAY()-S488))</f>
        <v/>
      </c>
      <c r="U488" s="31">
        <f>IF(A488="","",IF(OR(AND(F488="次卡",O488=0),AND(F488="期限卡",P488=0)),"已到期",IF(T488&gt;=10,"沉睡客户",IF(T488&gt;=7,"预警客户","正常"))))</f>
        <v/>
      </c>
      <c r="V488" s="11" t="n"/>
      <c r="W488" s="11" t="n"/>
    </row>
    <row r="489">
      <c r="A489" s="44" t="n"/>
      <c r="B489" s="11" t="n"/>
      <c r="C489" s="11" t="n"/>
      <c r="D489" s="11" t="n"/>
      <c r="E489" s="11" t="n"/>
      <c r="F489" s="11" t="n"/>
      <c r="G489" s="55" t="n"/>
      <c r="H489" s="55" t="n"/>
      <c r="I489" s="55" t="n"/>
      <c r="J489" s="11" t="n"/>
      <c r="K489" s="56" t="n"/>
      <c r="L489" s="46">
        <f>K489-J489</f>
        <v/>
      </c>
      <c r="M489" s="47" t="n"/>
      <c r="N489" s="48">
        <f>IF(A489="","",COUNTIFS(上课记录!$B:$B,A489,上课记录!$J:$J,"是"))</f>
        <v/>
      </c>
      <c r="O489" s="31">
        <f>IF(A489="","",IF(F489="次卡",MAX(0,M489-N489),"—"))</f>
        <v/>
      </c>
      <c r="P489" s="31">
        <f>IF(A489="","",IF(F489="期限卡",MAX(0,I489-TODAY()),"—"))</f>
        <v/>
      </c>
      <c r="Q489" s="31">
        <f>IF(A489="","",IF(F489="次卡",IF(OR(K489="",K489=0,M489=0),"",K489/M489),IF(F489="期限卡",IF(AND(K489&lt;&gt;"",K489&lt;&gt;0,I489&gt;H489),K489/(I489-H489),""),"")))</f>
        <v/>
      </c>
      <c r="R489" s="31">
        <f>IF(A489="","",IF(F489="次卡",IF(OR(K489="",K489=0,M489=0),"",Q489*O489),IF(F489="期限卡",IF(AND(K489&lt;&gt;"",K489&lt;&gt;0,I489&gt;H489),Q489*P489,""),"")))</f>
        <v/>
      </c>
      <c r="S489" s="58">
        <f>IF(A489="","",IFERROR(_xlfn.MAXIFS(上课记录!$D:$D,上课记录!$B:$B,A489,上课记录!$J:$J,"是"),""))</f>
        <v/>
      </c>
      <c r="T489" s="31">
        <f>IF(A489="","",IF(S489="","",TODAY()-S489))</f>
        <v/>
      </c>
      <c r="U489" s="31">
        <f>IF(A489="","",IF(OR(AND(F489="次卡",O489=0),AND(F489="期限卡",P489=0)),"已到期",IF(T489&gt;=10,"沉睡客户",IF(T489&gt;=7,"预警客户","正常"))))</f>
        <v/>
      </c>
      <c r="V489" s="11" t="n"/>
      <c r="W489" s="11" t="n"/>
    </row>
    <row r="490">
      <c r="A490" s="44" t="n"/>
      <c r="B490" s="11" t="n"/>
      <c r="C490" s="11" t="n"/>
      <c r="D490" s="11" t="n"/>
      <c r="E490" s="11" t="n"/>
      <c r="F490" s="11" t="n"/>
      <c r="G490" s="55" t="n"/>
      <c r="H490" s="55" t="n"/>
      <c r="I490" s="55" t="n"/>
      <c r="J490" s="11" t="n"/>
      <c r="K490" s="56" t="n"/>
      <c r="L490" s="46">
        <f>K490-J490</f>
        <v/>
      </c>
      <c r="M490" s="47" t="n"/>
      <c r="N490" s="48">
        <f>IF(A490="","",COUNTIFS(上课记录!$B:$B,A490,上课记录!$J:$J,"是"))</f>
        <v/>
      </c>
      <c r="O490" s="31">
        <f>IF(A490="","",IF(F490="次卡",MAX(0,M490-N490),"—"))</f>
        <v/>
      </c>
      <c r="P490" s="31">
        <f>IF(A490="","",IF(F490="期限卡",MAX(0,I490-TODAY()),"—"))</f>
        <v/>
      </c>
      <c r="Q490" s="31">
        <f>IF(A490="","",IF(F490="次卡",IF(OR(K490="",K490=0,M490=0),"",K490/M490),IF(F490="期限卡",IF(AND(K490&lt;&gt;"",K490&lt;&gt;0,I490&gt;H490),K490/(I490-H490),""),"")))</f>
        <v/>
      </c>
      <c r="R490" s="31">
        <f>IF(A490="","",IF(F490="次卡",IF(OR(K490="",K490=0,M490=0),"",Q490*O490),IF(F490="期限卡",IF(AND(K490&lt;&gt;"",K490&lt;&gt;0,I490&gt;H490),Q490*P490,""),"")))</f>
        <v/>
      </c>
      <c r="S490" s="58">
        <f>IF(A490="","",IFERROR(_xlfn.MAXIFS(上课记录!$D:$D,上课记录!$B:$B,A490,上课记录!$J:$J,"是"),""))</f>
        <v/>
      </c>
      <c r="T490" s="31">
        <f>IF(A490="","",IF(S490="","",TODAY()-S490))</f>
        <v/>
      </c>
      <c r="U490" s="31">
        <f>IF(A490="","",IF(OR(AND(F490="次卡",O490=0),AND(F490="期限卡",P490=0)),"已到期",IF(T490&gt;=10,"沉睡客户",IF(T490&gt;=7,"预警客户","正常"))))</f>
        <v/>
      </c>
      <c r="V490" s="11" t="n"/>
      <c r="W490" s="11" t="n"/>
    </row>
    <row r="491">
      <c r="A491" s="44" t="n"/>
      <c r="B491" s="11" t="n"/>
      <c r="C491" s="11" t="n"/>
      <c r="D491" s="11" t="n"/>
      <c r="E491" s="11" t="n"/>
      <c r="F491" s="11" t="n"/>
      <c r="G491" s="55" t="n"/>
      <c r="H491" s="55" t="n"/>
      <c r="I491" s="55" t="n"/>
      <c r="J491" s="11" t="n"/>
      <c r="K491" s="56" t="n"/>
      <c r="L491" s="46">
        <f>K491-J491</f>
        <v/>
      </c>
      <c r="M491" s="47" t="n"/>
      <c r="N491" s="48">
        <f>IF(A491="","",COUNTIFS(上课记录!$B:$B,A491,上课记录!$J:$J,"是"))</f>
        <v/>
      </c>
      <c r="O491" s="31">
        <f>IF(A491="","",IF(F491="次卡",MAX(0,M491-N491),"—"))</f>
        <v/>
      </c>
      <c r="P491" s="31">
        <f>IF(A491="","",IF(F491="期限卡",MAX(0,I491-TODAY()),"—"))</f>
        <v/>
      </c>
      <c r="Q491" s="31">
        <f>IF(A491="","",IF(F491="次卡",IF(OR(K491="",K491=0,M491=0),"",K491/M491),IF(F491="期限卡",IF(AND(K491&lt;&gt;"",K491&lt;&gt;0,I491&gt;H491),K491/(I491-H491),""),"")))</f>
        <v/>
      </c>
      <c r="R491" s="31">
        <f>IF(A491="","",IF(F491="次卡",IF(OR(K491="",K491=0,M491=0),"",Q491*O491),IF(F491="期限卡",IF(AND(K491&lt;&gt;"",K491&lt;&gt;0,I491&gt;H491),Q491*P491,""),"")))</f>
        <v/>
      </c>
      <c r="S491" s="58">
        <f>IF(A491="","",IFERROR(_xlfn.MAXIFS(上课记录!$D:$D,上课记录!$B:$B,A491,上课记录!$J:$J,"是"),""))</f>
        <v/>
      </c>
      <c r="T491" s="31">
        <f>IF(A491="","",IF(S491="","",TODAY()-S491))</f>
        <v/>
      </c>
      <c r="U491" s="31">
        <f>IF(A491="","",IF(OR(AND(F491="次卡",O491=0),AND(F491="期限卡",P491=0)),"已到期",IF(T491&gt;=10,"沉睡客户",IF(T491&gt;=7,"预警客户","正常"))))</f>
        <v/>
      </c>
      <c r="V491" s="11" t="n"/>
      <c r="W491" s="11" t="n"/>
    </row>
    <row r="492">
      <c r="A492" s="44" t="n"/>
      <c r="B492" s="11" t="n"/>
      <c r="C492" s="11" t="n"/>
      <c r="D492" s="11" t="n"/>
      <c r="E492" s="11" t="n"/>
      <c r="F492" s="11" t="n"/>
      <c r="G492" s="55" t="n"/>
      <c r="H492" s="55" t="n"/>
      <c r="I492" s="55" t="n"/>
      <c r="J492" s="11" t="n"/>
      <c r="K492" s="56" t="n"/>
      <c r="L492" s="46">
        <f>K492-J492</f>
        <v/>
      </c>
      <c r="M492" s="47" t="n"/>
      <c r="N492" s="48">
        <f>IF(A492="","",COUNTIFS(上课记录!$B:$B,A492,上课记录!$J:$J,"是"))</f>
        <v/>
      </c>
      <c r="O492" s="31">
        <f>IF(A492="","",IF(F492="次卡",MAX(0,M492-N492),"—"))</f>
        <v/>
      </c>
      <c r="P492" s="31">
        <f>IF(A492="","",IF(F492="期限卡",MAX(0,I492-TODAY()),"—"))</f>
        <v/>
      </c>
      <c r="Q492" s="31">
        <f>IF(A492="","",IF(F492="次卡",IF(OR(K492="",K492=0,M492=0),"",K492/M492),IF(F492="期限卡",IF(AND(K492&lt;&gt;"",K492&lt;&gt;0,I492&gt;H492),K492/(I492-H492),""),"")))</f>
        <v/>
      </c>
      <c r="R492" s="31">
        <f>IF(A492="","",IF(F492="次卡",IF(OR(K492="",K492=0,M492=0),"",Q492*O492),IF(F492="期限卡",IF(AND(K492&lt;&gt;"",K492&lt;&gt;0,I492&gt;H492),Q492*P492,""),"")))</f>
        <v/>
      </c>
      <c r="S492" s="58">
        <f>IF(A492="","",IFERROR(_xlfn.MAXIFS(上课记录!$D:$D,上课记录!$B:$B,A492,上课记录!$J:$J,"是"),""))</f>
        <v/>
      </c>
      <c r="T492" s="31">
        <f>IF(A492="","",IF(S492="","",TODAY()-S492))</f>
        <v/>
      </c>
      <c r="U492" s="31">
        <f>IF(A492="","",IF(OR(AND(F492="次卡",O492=0),AND(F492="期限卡",P492=0)),"已到期",IF(T492&gt;=10,"沉睡客户",IF(T492&gt;=7,"预警客户","正常"))))</f>
        <v/>
      </c>
      <c r="V492" s="11" t="n"/>
      <c r="W492" s="11" t="n"/>
    </row>
    <row r="493">
      <c r="A493" s="44" t="n"/>
      <c r="B493" s="11" t="n"/>
      <c r="C493" s="11" t="n"/>
      <c r="D493" s="11" t="n"/>
      <c r="E493" s="11" t="n"/>
      <c r="F493" s="11" t="n"/>
      <c r="G493" s="55" t="n"/>
      <c r="H493" s="55" t="n"/>
      <c r="I493" s="55" t="n"/>
      <c r="J493" s="11" t="n"/>
      <c r="K493" s="56" t="n"/>
      <c r="L493" s="46">
        <f>K493-J493</f>
        <v/>
      </c>
      <c r="M493" s="47" t="n"/>
      <c r="N493" s="48">
        <f>IF(A493="","",COUNTIFS(上课记录!$B:$B,A493,上课记录!$J:$J,"是"))</f>
        <v/>
      </c>
      <c r="O493" s="31">
        <f>IF(A493="","",IF(F493="次卡",MAX(0,M493-N493),"—"))</f>
        <v/>
      </c>
      <c r="P493" s="31">
        <f>IF(A493="","",IF(F493="期限卡",MAX(0,I493-TODAY()),"—"))</f>
        <v/>
      </c>
      <c r="Q493" s="31">
        <f>IF(A493="","",IF(F493="次卡",IF(OR(K493="",K493=0,M493=0),"",K493/M493),IF(F493="期限卡",IF(AND(K493&lt;&gt;"",K493&lt;&gt;0,I493&gt;H493),K493/(I493-H493),""),"")))</f>
        <v/>
      </c>
      <c r="R493" s="31">
        <f>IF(A493="","",IF(F493="次卡",IF(OR(K493="",K493=0,M493=0),"",Q493*O493),IF(F493="期限卡",IF(AND(K493&lt;&gt;"",K493&lt;&gt;0,I493&gt;H493),Q493*P493,""),"")))</f>
        <v/>
      </c>
      <c r="S493" s="58">
        <f>IF(A493="","",IFERROR(_xlfn.MAXIFS(上课记录!$D:$D,上课记录!$B:$B,A493,上课记录!$J:$J,"是"),""))</f>
        <v/>
      </c>
      <c r="T493" s="31">
        <f>IF(A493="","",IF(S493="","",TODAY()-S493))</f>
        <v/>
      </c>
      <c r="U493" s="31">
        <f>IF(A493="","",IF(OR(AND(F493="次卡",O493=0),AND(F493="期限卡",P493=0)),"已到期",IF(T493&gt;=10,"沉睡客户",IF(T493&gt;=7,"预警客户","正常"))))</f>
        <v/>
      </c>
      <c r="V493" s="11" t="n"/>
      <c r="W493" s="11" t="n"/>
    </row>
    <row r="494">
      <c r="A494" s="44" t="n"/>
      <c r="B494" s="11" t="n"/>
      <c r="C494" s="11" t="n"/>
      <c r="D494" s="11" t="n"/>
      <c r="E494" s="11" t="n"/>
      <c r="F494" s="11" t="n"/>
      <c r="G494" s="55" t="n"/>
      <c r="H494" s="55" t="n"/>
      <c r="I494" s="55" t="n"/>
      <c r="J494" s="11" t="n"/>
      <c r="K494" s="56" t="n"/>
      <c r="L494" s="46">
        <f>K494-J494</f>
        <v/>
      </c>
      <c r="M494" s="47" t="n"/>
      <c r="N494" s="48">
        <f>IF(A494="","",COUNTIFS(上课记录!$B:$B,A494,上课记录!$J:$J,"是"))</f>
        <v/>
      </c>
      <c r="O494" s="31">
        <f>IF(A494="","",IF(F494="次卡",MAX(0,M494-N494),"—"))</f>
        <v/>
      </c>
      <c r="P494" s="31">
        <f>IF(A494="","",IF(F494="期限卡",MAX(0,I494-TODAY()),"—"))</f>
        <v/>
      </c>
      <c r="Q494" s="31">
        <f>IF(A494="","",IF(F494="次卡",IF(OR(K494="",K494=0,M494=0),"",K494/M494),IF(F494="期限卡",IF(AND(K494&lt;&gt;"",K494&lt;&gt;0,I494&gt;H494),K494/(I494-H494),""),"")))</f>
        <v/>
      </c>
      <c r="R494" s="31">
        <f>IF(A494="","",IF(F494="次卡",IF(OR(K494="",K494=0,M494=0),"",Q494*O494),IF(F494="期限卡",IF(AND(K494&lt;&gt;"",K494&lt;&gt;0,I494&gt;H494),Q494*P494,""),"")))</f>
        <v/>
      </c>
      <c r="S494" s="58">
        <f>IF(A494="","",IFERROR(_xlfn.MAXIFS(上课记录!$D:$D,上课记录!$B:$B,A494,上课记录!$J:$J,"是"),""))</f>
        <v/>
      </c>
      <c r="T494" s="31">
        <f>IF(A494="","",IF(S494="","",TODAY()-S494))</f>
        <v/>
      </c>
      <c r="U494" s="31">
        <f>IF(A494="","",IF(OR(AND(F494="次卡",O494=0),AND(F494="期限卡",P494=0)),"已到期",IF(T494&gt;=10,"沉睡客户",IF(T494&gt;=7,"预警客户","正常"))))</f>
        <v/>
      </c>
      <c r="V494" s="11" t="n"/>
      <c r="W494" s="11" t="n"/>
    </row>
    <row r="495">
      <c r="A495" s="44" t="n"/>
      <c r="B495" s="11" t="n"/>
      <c r="C495" s="11" t="n"/>
      <c r="D495" s="11" t="n"/>
      <c r="E495" s="11" t="n"/>
      <c r="F495" s="11" t="n"/>
      <c r="G495" s="55" t="n"/>
      <c r="H495" s="55" t="n"/>
      <c r="I495" s="55" t="n"/>
      <c r="J495" s="11" t="n"/>
      <c r="K495" s="56" t="n"/>
      <c r="L495" s="46">
        <f>K495-J495</f>
        <v/>
      </c>
      <c r="M495" s="47" t="n"/>
      <c r="N495" s="48">
        <f>IF(A495="","",COUNTIFS(上课记录!$B:$B,A495,上课记录!$J:$J,"是"))</f>
        <v/>
      </c>
      <c r="O495" s="31">
        <f>IF(A495="","",IF(F495="次卡",MAX(0,M495-N495),"—"))</f>
        <v/>
      </c>
      <c r="P495" s="31">
        <f>IF(A495="","",IF(F495="期限卡",MAX(0,I495-TODAY()),"—"))</f>
        <v/>
      </c>
      <c r="Q495" s="31">
        <f>IF(A495="","",IF(F495="次卡",IF(OR(K495="",K495=0,M495=0),"",K495/M495),IF(F495="期限卡",IF(AND(K495&lt;&gt;"",K495&lt;&gt;0,I495&gt;H495),K495/(I495-H495),""),"")))</f>
        <v/>
      </c>
      <c r="R495" s="31">
        <f>IF(A495="","",IF(F495="次卡",IF(OR(K495="",K495=0,M495=0),"",Q495*O495),IF(F495="期限卡",IF(AND(K495&lt;&gt;"",K495&lt;&gt;0,I495&gt;H495),Q495*P495,""),"")))</f>
        <v/>
      </c>
      <c r="S495" s="58">
        <f>IF(A495="","",IFERROR(_xlfn.MAXIFS(上课记录!$D:$D,上课记录!$B:$B,A495,上课记录!$J:$J,"是"),""))</f>
        <v/>
      </c>
      <c r="T495" s="31">
        <f>IF(A495="","",IF(S495="","",TODAY()-S495))</f>
        <v/>
      </c>
      <c r="U495" s="31">
        <f>IF(A495="","",IF(OR(AND(F495="次卡",O495=0),AND(F495="期限卡",P495=0)),"已到期",IF(T495&gt;=10,"沉睡客户",IF(T495&gt;=7,"预警客户","正常"))))</f>
        <v/>
      </c>
      <c r="V495" s="11" t="n"/>
      <c r="W495" s="11" t="n"/>
    </row>
    <row r="496">
      <c r="A496" s="44" t="n"/>
      <c r="B496" s="11" t="n"/>
      <c r="C496" s="11" t="n"/>
      <c r="D496" s="11" t="n"/>
      <c r="E496" s="11" t="n"/>
      <c r="F496" s="11" t="n"/>
      <c r="G496" s="55" t="n"/>
      <c r="H496" s="55" t="n"/>
      <c r="I496" s="55" t="n"/>
      <c r="J496" s="11" t="n"/>
      <c r="K496" s="56" t="n"/>
      <c r="L496" s="46">
        <f>K496-J496</f>
        <v/>
      </c>
      <c r="M496" s="47" t="n"/>
      <c r="N496" s="48">
        <f>IF(A496="","",COUNTIFS(上课记录!$B:$B,A496,上课记录!$J:$J,"是"))</f>
        <v/>
      </c>
      <c r="O496" s="31">
        <f>IF(A496="","",IF(F496="次卡",MAX(0,M496-N496),"—"))</f>
        <v/>
      </c>
      <c r="P496" s="31">
        <f>IF(A496="","",IF(F496="期限卡",MAX(0,I496-TODAY()),"—"))</f>
        <v/>
      </c>
      <c r="Q496" s="31">
        <f>IF(A496="","",IF(F496="次卡",IF(OR(K496="",K496=0,M496=0),"",K496/M496),IF(F496="期限卡",IF(AND(K496&lt;&gt;"",K496&lt;&gt;0,I496&gt;H496),K496/(I496-H496),""),"")))</f>
        <v/>
      </c>
      <c r="R496" s="31">
        <f>IF(A496="","",IF(F496="次卡",IF(OR(K496="",K496=0,M496=0),"",Q496*O496),IF(F496="期限卡",IF(AND(K496&lt;&gt;"",K496&lt;&gt;0,I496&gt;H496),Q496*P496,""),"")))</f>
        <v/>
      </c>
      <c r="S496" s="58">
        <f>IF(A496="","",IFERROR(_xlfn.MAXIFS(上课记录!$D:$D,上课记录!$B:$B,A496,上课记录!$J:$J,"是"),""))</f>
        <v/>
      </c>
      <c r="T496" s="31">
        <f>IF(A496="","",IF(S496="","",TODAY()-S496))</f>
        <v/>
      </c>
      <c r="U496" s="31">
        <f>IF(A496="","",IF(OR(AND(F496="次卡",O496=0),AND(F496="期限卡",P496=0)),"已到期",IF(T496&gt;=10,"沉睡客户",IF(T496&gt;=7,"预警客户","正常"))))</f>
        <v/>
      </c>
      <c r="V496" s="11" t="n"/>
      <c r="W496" s="11" t="n"/>
    </row>
    <row r="497">
      <c r="A497" s="44" t="n"/>
      <c r="B497" s="11" t="n"/>
      <c r="C497" s="11" t="n"/>
      <c r="D497" s="11" t="n"/>
      <c r="E497" s="11" t="n"/>
      <c r="F497" s="11" t="n"/>
      <c r="G497" s="55" t="n"/>
      <c r="H497" s="55" t="n"/>
      <c r="I497" s="55" t="n"/>
      <c r="J497" s="11" t="n"/>
      <c r="K497" s="56" t="n"/>
      <c r="L497" s="46">
        <f>K497-J497</f>
        <v/>
      </c>
      <c r="M497" s="47" t="n"/>
      <c r="N497" s="48">
        <f>IF(A497="","",COUNTIFS(上课记录!$B:$B,A497,上课记录!$J:$J,"是"))</f>
        <v/>
      </c>
      <c r="O497" s="31">
        <f>IF(A497="","",IF(F497="次卡",MAX(0,M497-N497),"—"))</f>
        <v/>
      </c>
      <c r="P497" s="31">
        <f>IF(A497="","",IF(F497="期限卡",MAX(0,I497-TODAY()),"—"))</f>
        <v/>
      </c>
      <c r="Q497" s="31">
        <f>IF(A497="","",IF(F497="次卡",IF(OR(K497="",K497=0,M497=0),"",K497/M497),IF(F497="期限卡",IF(AND(K497&lt;&gt;"",K497&lt;&gt;0,I497&gt;H497),K497/(I497-H497),""),"")))</f>
        <v/>
      </c>
      <c r="R497" s="31">
        <f>IF(A497="","",IF(F497="次卡",IF(OR(K497="",K497=0,M497=0),"",Q497*O497),IF(F497="期限卡",IF(AND(K497&lt;&gt;"",K497&lt;&gt;0,I497&gt;H497),Q497*P497,""),"")))</f>
        <v/>
      </c>
      <c r="S497" s="58">
        <f>IF(A497="","",IFERROR(_xlfn.MAXIFS(上课记录!$D:$D,上课记录!$B:$B,A497,上课记录!$J:$J,"是"),""))</f>
        <v/>
      </c>
      <c r="T497" s="31">
        <f>IF(A497="","",IF(S497="","",TODAY()-S497))</f>
        <v/>
      </c>
      <c r="U497" s="31">
        <f>IF(A497="","",IF(OR(AND(F497="次卡",O497=0),AND(F497="期限卡",P497=0)),"已到期",IF(T497&gt;=10,"沉睡客户",IF(T497&gt;=7,"预警客户","正常"))))</f>
        <v/>
      </c>
      <c r="V497" s="11" t="n"/>
      <c r="W497" s="11" t="n"/>
    </row>
    <row r="498">
      <c r="A498" s="44" t="n"/>
      <c r="B498" s="11" t="n"/>
      <c r="C498" s="11" t="n"/>
      <c r="D498" s="11" t="n"/>
      <c r="E498" s="11" t="n"/>
      <c r="F498" s="11" t="n"/>
      <c r="G498" s="55" t="n"/>
      <c r="H498" s="55" t="n"/>
      <c r="I498" s="55" t="n"/>
      <c r="J498" s="11" t="n"/>
      <c r="K498" s="56" t="n"/>
      <c r="L498" s="46">
        <f>K498-J498</f>
        <v/>
      </c>
      <c r="M498" s="47" t="n"/>
      <c r="N498" s="48">
        <f>IF(A498="","",COUNTIFS(上课记录!$B:$B,A498,上课记录!$J:$J,"是"))</f>
        <v/>
      </c>
      <c r="O498" s="31">
        <f>IF(A498="","",IF(F498="次卡",MAX(0,M498-N498),"—"))</f>
        <v/>
      </c>
      <c r="P498" s="31">
        <f>IF(A498="","",IF(F498="期限卡",MAX(0,I498-TODAY()),"—"))</f>
        <v/>
      </c>
      <c r="Q498" s="31">
        <f>IF(A498="","",IF(F498="次卡",IF(OR(K498="",K498=0,M498=0),"",K498/M498),IF(F498="期限卡",IF(AND(K498&lt;&gt;"",K498&lt;&gt;0,I498&gt;H498),K498/(I498-H498),""),"")))</f>
        <v/>
      </c>
      <c r="R498" s="31">
        <f>IF(A498="","",IF(F498="次卡",IF(OR(K498="",K498=0,M498=0),"",Q498*O498),IF(F498="期限卡",IF(AND(K498&lt;&gt;"",K498&lt;&gt;0,I498&gt;H498),Q498*P498,""),"")))</f>
        <v/>
      </c>
      <c r="S498" s="58">
        <f>IF(A498="","",IFERROR(_xlfn.MAXIFS(上课记录!$D:$D,上课记录!$B:$B,A498,上课记录!$J:$J,"是"),""))</f>
        <v/>
      </c>
      <c r="T498" s="31">
        <f>IF(A498="","",IF(S498="","",TODAY()-S498))</f>
        <v/>
      </c>
      <c r="U498" s="31">
        <f>IF(A498="","",IF(OR(AND(F498="次卡",O498=0),AND(F498="期限卡",P498=0)),"已到期",IF(T498&gt;=10,"沉睡客户",IF(T498&gt;=7,"预警客户","正常"))))</f>
        <v/>
      </c>
      <c r="V498" s="11" t="n"/>
      <c r="W498" s="11" t="n"/>
    </row>
    <row r="499">
      <c r="A499" s="44" t="n"/>
      <c r="B499" s="11" t="n"/>
      <c r="C499" s="11" t="n"/>
      <c r="D499" s="11" t="n"/>
      <c r="E499" s="11" t="n"/>
      <c r="F499" s="11" t="n"/>
      <c r="G499" s="55" t="n"/>
      <c r="H499" s="55" t="n"/>
      <c r="I499" s="55" t="n"/>
      <c r="J499" s="11" t="n"/>
      <c r="K499" s="56" t="n"/>
      <c r="L499" s="46">
        <f>K499-J499</f>
        <v/>
      </c>
      <c r="M499" s="47" t="n"/>
      <c r="N499" s="48">
        <f>IF(A499="","",COUNTIFS(上课记录!$B:$B,A499,上课记录!$J:$J,"是"))</f>
        <v/>
      </c>
      <c r="O499" s="31">
        <f>IF(A499="","",IF(F499="次卡",MAX(0,M499-N499),"—"))</f>
        <v/>
      </c>
      <c r="P499" s="31">
        <f>IF(A499="","",IF(F499="期限卡",MAX(0,I499-TODAY()),"—"))</f>
        <v/>
      </c>
      <c r="Q499" s="31">
        <f>IF(A499="","",IF(F499="次卡",IF(OR(K499="",K499=0,M499=0),"",K499/M499),IF(F499="期限卡",IF(AND(K499&lt;&gt;"",K499&lt;&gt;0,I499&gt;H499),K499/(I499-H499),""),"")))</f>
        <v/>
      </c>
      <c r="R499" s="31">
        <f>IF(A499="","",IF(F499="次卡",IF(OR(K499="",K499=0,M499=0),"",Q499*O499),IF(F499="期限卡",IF(AND(K499&lt;&gt;"",K499&lt;&gt;0,I499&gt;H499),Q499*P499,""),"")))</f>
        <v/>
      </c>
      <c r="S499" s="58">
        <f>IF(A499="","",IFERROR(_xlfn.MAXIFS(上课记录!$D:$D,上课记录!$B:$B,A499,上课记录!$J:$J,"是"),""))</f>
        <v/>
      </c>
      <c r="T499" s="31">
        <f>IF(A499="","",IF(S499="","",TODAY()-S499))</f>
        <v/>
      </c>
      <c r="U499" s="31">
        <f>IF(A499="","",IF(OR(AND(F499="次卡",O499=0),AND(F499="期限卡",P499=0)),"已到期",IF(T499&gt;=10,"沉睡客户",IF(T499&gt;=7,"预警客户","正常"))))</f>
        <v/>
      </c>
      <c r="V499" s="11" t="n"/>
      <c r="W499" s="11" t="n"/>
    </row>
    <row r="500">
      <c r="A500" s="44" t="n"/>
      <c r="B500" s="11" t="n"/>
      <c r="C500" s="11" t="n"/>
      <c r="D500" s="11" t="n"/>
      <c r="E500" s="11" t="n"/>
      <c r="F500" s="11" t="n"/>
      <c r="G500" s="55" t="n"/>
      <c r="H500" s="55" t="n"/>
      <c r="I500" s="55" t="n"/>
      <c r="J500" s="11" t="n"/>
      <c r="K500" s="56" t="n"/>
      <c r="L500" s="46">
        <f>K500-J500</f>
        <v/>
      </c>
      <c r="M500" s="47" t="n"/>
      <c r="N500" s="48">
        <f>IF(A500="","",COUNTIFS(上课记录!$B:$B,A500,上课记录!$J:$J,"是"))</f>
        <v/>
      </c>
      <c r="O500" s="31">
        <f>IF(A500="","",IF(F500="次卡",MAX(0,M500-N500),"—"))</f>
        <v/>
      </c>
      <c r="P500" s="31">
        <f>IF(A500="","",IF(F500="期限卡",MAX(0,I500-TODAY()),"—"))</f>
        <v/>
      </c>
      <c r="Q500" s="31">
        <f>IF(A500="","",IF(F500="次卡",IF(OR(K500="",K500=0,M500=0),"",K500/M500),IF(F500="期限卡",IF(AND(K500&lt;&gt;"",K500&lt;&gt;0,I500&gt;H500),K500/(I500-H500),""),"")))</f>
        <v/>
      </c>
      <c r="R500" s="31">
        <f>IF(A500="","",IF(F500="次卡",IF(OR(K500="",K500=0,M500=0),"",Q500*O500),IF(F500="期限卡",IF(AND(K500&lt;&gt;"",K500&lt;&gt;0,I500&gt;H500),Q500*P500,""),"")))</f>
        <v/>
      </c>
      <c r="S500" s="58">
        <f>IF(A500="","",IFERROR(_xlfn.MAXIFS(上课记录!$D:$D,上课记录!$B:$B,A500,上课记录!$J:$J,"是"),""))</f>
        <v/>
      </c>
      <c r="T500" s="31">
        <f>IF(A500="","",IF(S500="","",TODAY()-S500))</f>
        <v/>
      </c>
      <c r="U500" s="31">
        <f>IF(A500="","",IF(OR(AND(F500="次卡",O500=0),AND(F500="期限卡",P500=0)),"已到期",IF(T500&gt;=10,"沉睡客户",IF(T500&gt;=7,"预警客户","正常"))))</f>
        <v/>
      </c>
      <c r="V500" s="11" t="n"/>
      <c r="W500" s="11" t="n"/>
    </row>
    <row r="501">
      <c r="A501" s="44" t="n"/>
      <c r="B501" s="11" t="n"/>
      <c r="C501" s="11" t="n"/>
      <c r="D501" s="11" t="n"/>
      <c r="E501" s="11" t="n"/>
      <c r="F501" s="11" t="n"/>
      <c r="G501" s="55" t="n"/>
      <c r="H501" s="55" t="n"/>
      <c r="I501" s="55" t="n"/>
      <c r="J501" s="11" t="n"/>
      <c r="K501" s="56" t="n"/>
      <c r="L501" s="46">
        <f>K501-J501</f>
        <v/>
      </c>
      <c r="M501" s="47" t="n"/>
      <c r="N501" s="48">
        <f>IF(A501="","",COUNTIFS(上课记录!$B:$B,A501,上课记录!$J:$J,"是"))</f>
        <v/>
      </c>
      <c r="O501" s="31">
        <f>IF(A501="","",IF(F501="次卡",MAX(0,M501-N501),"—"))</f>
        <v/>
      </c>
      <c r="P501" s="31">
        <f>IF(A501="","",IF(F501="期限卡",MAX(0,I501-TODAY()),"—"))</f>
        <v/>
      </c>
      <c r="Q501" s="31">
        <f>IF(A501="","",IF(F501="次卡",IF(OR(K501="",K501=0,M501=0),"",K501/M501),IF(F501="期限卡",IF(AND(K501&lt;&gt;"",K501&lt;&gt;0,I501&gt;H501),K501/(I501-H501),""),"")))</f>
        <v/>
      </c>
      <c r="R501" s="31">
        <f>IF(A501="","",IF(F501="次卡",IF(OR(K501="",K501=0,M501=0),"",Q501*O501),IF(F501="期限卡",IF(AND(K501&lt;&gt;"",K501&lt;&gt;0,I501&gt;H501),Q501*P501,""),"")))</f>
        <v/>
      </c>
      <c r="S501" s="58">
        <f>IF(A501="","",IFERROR(_xlfn.MAXIFS(上课记录!$D:$D,上课记录!$B:$B,A501,上课记录!$J:$J,"是"),""))</f>
        <v/>
      </c>
      <c r="T501" s="31">
        <f>IF(A501="","",IF(S501="","",TODAY()-S501))</f>
        <v/>
      </c>
      <c r="U501" s="31">
        <f>IF(A501="","",IF(OR(AND(F501="次卡",O501=0),AND(F501="期限卡",P501=0)),"已到期",IF(T501&gt;=10,"沉睡客户",IF(T501&gt;=7,"预警客户","正常"))))</f>
        <v/>
      </c>
      <c r="V501" s="11" t="n"/>
      <c r="W501" s="11" t="n"/>
    </row>
    <row r="502">
      <c r="A502" s="44" t="n"/>
      <c r="B502" s="11" t="n"/>
      <c r="C502" s="11" t="n"/>
      <c r="D502" s="11" t="n"/>
      <c r="E502" s="11" t="n"/>
      <c r="F502" s="11" t="n"/>
      <c r="G502" s="55" t="n"/>
      <c r="H502" s="55" t="n"/>
      <c r="I502" s="55" t="n"/>
      <c r="J502" s="11" t="n"/>
      <c r="K502" s="56" t="n"/>
      <c r="L502" s="46">
        <f>K502-J502</f>
        <v/>
      </c>
      <c r="M502" s="47" t="n"/>
      <c r="N502" s="48">
        <f>IF(A502="","",COUNTIFS(上课记录!$B:$B,A502,上课记录!$J:$J,"是"))</f>
        <v/>
      </c>
      <c r="O502" s="31">
        <f>IF(A502="","",IF(F502="次卡",MAX(0,M502-N502),"—"))</f>
        <v/>
      </c>
      <c r="P502" s="31">
        <f>IF(A502="","",IF(F502="期限卡",MAX(0,I502-TODAY()),"—"))</f>
        <v/>
      </c>
      <c r="Q502" s="31">
        <f>IF(A502="","",IF(F502="次卡",IF(OR(K502="",K502=0,M502=0),"",K502/M502),IF(F502="期限卡",IF(AND(K502&lt;&gt;"",K502&lt;&gt;0,I502&gt;H502),K502/(I502-H502),""),"")))</f>
        <v/>
      </c>
      <c r="R502" s="31">
        <f>IF(A502="","",IF(F502="次卡",IF(OR(K502="",K502=0,M502=0),"",Q502*O502),IF(F502="期限卡",IF(AND(K502&lt;&gt;"",K502&lt;&gt;0,I502&gt;H502),Q502*P502,""),"")))</f>
        <v/>
      </c>
      <c r="S502" s="58">
        <f>IF(A502="","",IFERROR(_xlfn.MAXIFS(上课记录!$D:$D,上课记录!$B:$B,A502,上课记录!$J:$J,"是"),""))</f>
        <v/>
      </c>
      <c r="T502" s="31">
        <f>IF(A502="","",IF(S502="","",TODAY()-S502))</f>
        <v/>
      </c>
      <c r="U502" s="31">
        <f>IF(A502="","",IF(OR(AND(F502="次卡",O502=0),AND(F502="期限卡",P502=0)),"已到期",IF(T502&gt;=10,"沉睡客户",IF(T502&gt;=7,"预警客户","正常"))))</f>
        <v/>
      </c>
      <c r="V502" s="11" t="n"/>
      <c r="W502" s="11" t="n"/>
    </row>
    <row r="503">
      <c r="A503" s="44" t="n"/>
      <c r="B503" s="11" t="n"/>
      <c r="C503" s="11" t="n"/>
      <c r="D503" s="11" t="n"/>
      <c r="E503" s="11" t="n"/>
      <c r="F503" s="11" t="n"/>
      <c r="G503" s="55" t="n"/>
      <c r="H503" s="55" t="n"/>
      <c r="I503" s="55" t="n"/>
      <c r="J503" s="11" t="n"/>
      <c r="K503" s="56" t="n"/>
      <c r="L503" s="46">
        <f>K503-J503</f>
        <v/>
      </c>
      <c r="M503" s="47" t="n"/>
      <c r="N503" s="48">
        <f>IF(A503="","",COUNTIFS(上课记录!$B:$B,A503,上课记录!$J:$J,"是"))</f>
        <v/>
      </c>
      <c r="O503" s="31">
        <f>IF(A503="","",IF(F503="次卡",MAX(0,M503-N503),"—"))</f>
        <v/>
      </c>
      <c r="P503" s="31">
        <f>IF(A503="","",IF(F503="期限卡",MAX(0,I503-TODAY()),"—"))</f>
        <v/>
      </c>
      <c r="Q503" s="31">
        <f>IF(A503="","",IF(F503="次卡",IF(OR(K503="",K503=0,M503=0),"",K503/M503),IF(F503="期限卡",IF(AND(K503&lt;&gt;"",K503&lt;&gt;0,I503&gt;H503),K503/(I503-H503),""),"")))</f>
        <v/>
      </c>
      <c r="R503" s="31">
        <f>IF(A503="","",IF(F503="次卡",IF(OR(K503="",K503=0,M503=0),"",Q503*O503),IF(F503="期限卡",IF(AND(K503&lt;&gt;"",K503&lt;&gt;0,I503&gt;H503),Q503*P503,""),"")))</f>
        <v/>
      </c>
      <c r="S503" s="58">
        <f>IF(A503="","",IFERROR(_xlfn.MAXIFS(上课记录!$D:$D,上课记录!$B:$B,A503,上课记录!$J:$J,"是"),""))</f>
        <v/>
      </c>
      <c r="T503" s="31">
        <f>IF(A503="","",IF(S503="","",TODAY()-S503))</f>
        <v/>
      </c>
      <c r="U503" s="31">
        <f>IF(A503="","",IF(OR(AND(F503="次卡",O503=0),AND(F503="期限卡",P503=0)),"已到期",IF(T503&gt;=10,"沉睡客户",IF(T503&gt;=7,"预警客户","正常"))))</f>
        <v/>
      </c>
      <c r="V503" s="11" t="n"/>
      <c r="W503" s="11" t="n"/>
    </row>
    <row r="504">
      <c r="A504" s="44" t="n"/>
      <c r="B504" s="11" t="n"/>
      <c r="C504" s="11" t="n"/>
      <c r="D504" s="11" t="n"/>
      <c r="E504" s="11" t="n"/>
      <c r="F504" s="11" t="n"/>
      <c r="G504" s="55" t="n"/>
      <c r="H504" s="55" t="n"/>
      <c r="I504" s="55" t="n"/>
      <c r="J504" s="11" t="n"/>
      <c r="K504" s="56" t="n"/>
      <c r="L504" s="46">
        <f>K504-J504</f>
        <v/>
      </c>
      <c r="M504" s="47" t="n"/>
      <c r="N504" s="48">
        <f>IF(A504="","",COUNTIFS(上课记录!$B:$B,A504,上课记录!$J:$J,"是"))</f>
        <v/>
      </c>
      <c r="O504" s="31">
        <f>IF(A504="","",IF(F504="次卡",MAX(0,M504-N504),"—"))</f>
        <v/>
      </c>
      <c r="P504" s="31">
        <f>IF(A504="","",IF(F504="期限卡",MAX(0,I504-TODAY()),"—"))</f>
        <v/>
      </c>
      <c r="Q504" s="31">
        <f>IF(A504="","",IF(F504="次卡",IF(OR(K504="",K504=0,M504=0),"",K504/M504),IF(F504="期限卡",IF(AND(K504&lt;&gt;"",K504&lt;&gt;0,I504&gt;H504),K504/(I504-H504),""),"")))</f>
        <v/>
      </c>
      <c r="R504" s="31">
        <f>IF(A504="","",IF(F504="次卡",IF(OR(K504="",K504=0,M504=0),"",Q504*O504),IF(F504="期限卡",IF(AND(K504&lt;&gt;"",K504&lt;&gt;0,I504&gt;H504),Q504*P504,""),"")))</f>
        <v/>
      </c>
      <c r="S504" s="58">
        <f>IF(A504="","",IFERROR(_xlfn.MAXIFS(上课记录!$D:$D,上课记录!$B:$B,A504,上课记录!$J:$J,"是"),""))</f>
        <v/>
      </c>
      <c r="T504" s="31">
        <f>IF(A504="","",IF(S504="","",TODAY()-S504))</f>
        <v/>
      </c>
      <c r="U504" s="31">
        <f>IF(A504="","",IF(OR(AND(F504="次卡",O504=0),AND(F504="期限卡",P504=0)),"已到期",IF(T504&gt;=10,"沉睡客户",IF(T504&gt;=7,"预警客户","正常"))))</f>
        <v/>
      </c>
      <c r="V504" s="11" t="n"/>
      <c r="W504" s="11" t="n"/>
    </row>
  </sheetData>
  <autoFilter ref="A1:W504"/>
  <conditionalFormatting sqref="A2:W16 A18:W504 G17 J17 L17 N17:U17">
    <cfRule type="expression" priority="9" dxfId="0">
      <formula>$U2="沉睡客户"</formula>
    </cfRule>
    <cfRule type="expression" priority="10" dxfId="1">
      <formula>$U2="预警客户"</formula>
    </cfRule>
  </conditionalFormatting>
  <conditionalFormatting sqref="A17:F17 H17:I17 K17 M17 V17:W17">
    <cfRule type="expression" priority="1" dxfId="0">
      <formula>$U17="沉睡客户"</formula>
    </cfRule>
    <cfRule type="expression" priority="2" dxfId="1">
      <formula>$U17="预警客户"</formula>
    </cfRule>
  </conditionalFormatting>
  <dataValidations count="2">
    <dataValidation sqref="E2:E504" showDropDown="0" showInputMessage="0" showErrorMessage="0" allowBlank="1" type="list">
      <formula1>"私教,普拉提小班"</formula1>
    </dataValidation>
    <dataValidation sqref="F2:F504" showDropDown="0" showInputMessage="0" showErrorMessage="0" allowBlank="1" type="list">
      <formula1>"次卡,期限卡"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zoomScale="85" zoomScaleNormal="85" workbookViewId="0">
      <pane ySplit="1" topLeftCell="A2" activePane="bottomLeft" state="frozen"/>
      <selection activeCell="A1" sqref="A1"/>
      <selection pane="bottomLeft" activeCell="D5" sqref="D5"/>
    </sheetView>
  </sheetViews>
  <sheetFormatPr baseColWidth="8" defaultColWidth="9" defaultRowHeight="13.5" outlineLevelCol="0"/>
  <cols>
    <col width="12" customWidth="1" style="28" min="1" max="2"/>
    <col width="12" customWidth="1" style="29" min="3" max="3"/>
    <col width="12" customWidth="1" style="28" min="4" max="4"/>
    <col width="10" customWidth="1" style="28" min="5" max="5"/>
    <col width="12" customWidth="1" style="29" min="6" max="6"/>
    <col width="14" customWidth="1" style="29" min="7" max="7"/>
    <col width="12" customWidth="1" style="29" min="8" max="9"/>
    <col width="14" customWidth="1" style="28" min="10" max="10"/>
    <col width="10" customWidth="1" style="29" min="11" max="11"/>
    <col width="18" customWidth="1" style="28" min="12" max="13"/>
    <col width="24" customWidth="1" style="28" min="14" max="14"/>
  </cols>
  <sheetData>
    <row r="1" customFormat="1" s="29">
      <c r="A1" s="30" t="inlineStr">
        <is>
          <t>记录编号</t>
        </is>
      </c>
      <c r="B1" s="30" t="inlineStr">
        <is>
          <t>会员编号</t>
        </is>
      </c>
      <c r="C1" s="30" t="inlineStr">
        <is>
          <t>会员姓名</t>
        </is>
      </c>
      <c r="D1" s="30" t="inlineStr">
        <is>
          <t>上课日期</t>
        </is>
      </c>
      <c r="E1" s="30" t="inlineStr">
        <is>
          <t>上课时间</t>
        </is>
      </c>
      <c r="F1" s="6" t="inlineStr">
        <is>
          <t>负责老师</t>
        </is>
      </c>
      <c r="G1" s="6" t="inlineStr">
        <is>
          <t>会员类型</t>
        </is>
      </c>
      <c r="H1" s="6" t="inlineStr">
        <is>
          <t>卡种</t>
        </is>
      </c>
      <c r="I1" s="6" t="inlineStr">
        <is>
          <t>课程单价</t>
        </is>
      </c>
      <c r="J1" s="6" t="inlineStr">
        <is>
          <t>是否有效扣卡</t>
        </is>
      </c>
      <c r="K1" s="6" t="inlineStr">
        <is>
          <t>消耗数量</t>
        </is>
      </c>
      <c r="L1" s="6" t="inlineStr">
        <is>
          <t>课程名称</t>
        </is>
      </c>
      <c r="M1" s="6" t="inlineStr">
        <is>
          <t>效果图</t>
        </is>
      </c>
      <c r="N1" s="6" t="inlineStr">
        <is>
          <t>备注</t>
        </is>
      </c>
    </row>
    <row r="2">
      <c r="A2" s="11" t="n">
        <v>1</v>
      </c>
      <c r="B2" s="11" t="inlineStr">
        <is>
          <t>M001</t>
        </is>
      </c>
      <c r="C2" s="31">
        <f>IFERROR(_xlfn.XLOOKUP(B2,会员档案!$A:$A,会员档案!$B:$B),"")</f>
        <v/>
      </c>
      <c r="D2" s="55" t="n">
        <v>46236</v>
      </c>
      <c r="E2" s="32" t="n">
        <v>0.4583333333333333</v>
      </c>
      <c r="F2" s="31">
        <f>IFERROR(_xlfn.XLOOKUP(B2,会员档案!$A:$A,会员档案!$D:$D),"")</f>
        <v/>
      </c>
      <c r="G2" s="31">
        <f>IFERROR(_xlfn.XLOOKUP(B2,会员档案!$A:$A,会员档案!$E:$E),"")</f>
        <v/>
      </c>
      <c r="H2" s="31">
        <f>IFERROR(_xlfn.XLOOKUP(B2,会员档案!$A:$A,会员档案!$F:$F),"")</f>
        <v/>
      </c>
      <c r="I2" s="31">
        <f>IF(B2="","",IFERROR(VLOOKUP(B2,会员档案!$A:$Q,17,FALSE),""))</f>
        <v/>
      </c>
      <c r="J2" s="11">
        <f>IF(B2="","",IF(OR(H2="次卡",H2="期限卡"),"是","否"))</f>
        <v/>
      </c>
      <c r="K2" s="31">
        <f>IF(J2="是",1,0)</f>
        <v/>
      </c>
      <c r="L2" s="11" t="inlineStr">
        <is>
          <t>肩背</t>
        </is>
      </c>
      <c r="M2" s="11" t="n">
        <v>1</v>
      </c>
      <c r="N2" s="11" t="n"/>
    </row>
    <row r="3">
      <c r="A3" s="28" t="n">
        <v>2</v>
      </c>
      <c r="B3" s="28" t="inlineStr">
        <is>
          <t>M002</t>
        </is>
      </c>
      <c r="C3" s="31">
        <f>IFERROR(_xlfn.XLOOKUP(B3,会员档案!$A:$A,会员档案!$B:$B),"")</f>
        <v/>
      </c>
      <c r="D3" s="50" t="n">
        <v>46262</v>
      </c>
      <c r="E3" s="34" t="n">
        <v>0.4583333333333333</v>
      </c>
      <c r="F3" s="31">
        <f>IFERROR(_xlfn.XLOOKUP(B3,会员档案!$A:$A,会员档案!$D:$D),"")</f>
        <v/>
      </c>
      <c r="G3" s="31">
        <f>IFERROR(_xlfn.XLOOKUP(B3,会员档案!$A:$A,会员档案!$E:$E),"")</f>
        <v/>
      </c>
      <c r="H3" s="31">
        <f>IFERROR(_xlfn.XLOOKUP(B3,会员档案!$A:$A,会员档案!$F:$F),"")</f>
        <v/>
      </c>
      <c r="I3" s="31">
        <f>IF(B3="","",IFERROR(VLOOKUP(B3,会员档案!$A:$Q,17,FALSE),""))</f>
        <v/>
      </c>
      <c r="J3" s="11">
        <f>IF(B3="","",IF(OR(H3="次卡",H3="期限卡"),"是","否"))</f>
        <v/>
      </c>
      <c r="K3" s="31">
        <f>IF(J3="是",1,0)</f>
        <v/>
      </c>
      <c r="L3" s="11" t="inlineStr">
        <is>
          <t>核心</t>
        </is>
      </c>
      <c r="M3" s="11" t="n">
        <v>1</v>
      </c>
    </row>
    <row r="4">
      <c r="A4" s="28" t="n">
        <v>3</v>
      </c>
      <c r="B4" s="28" t="inlineStr">
        <is>
          <t>M004</t>
        </is>
      </c>
      <c r="C4" s="31">
        <f>IFERROR(_xlfn.XLOOKUP(B4,会员档案!$A:$A,会员档案!$B:$B),"")</f>
        <v/>
      </c>
      <c r="D4" s="50" t="n">
        <v>46236</v>
      </c>
      <c r="E4" s="34" t="n">
        <v>0.7083333333333334</v>
      </c>
      <c r="F4" s="31">
        <f>IFERROR(_xlfn.XLOOKUP(B4,会员档案!$A:$A,会员档案!$D:$D),"")</f>
        <v/>
      </c>
      <c r="G4" s="31">
        <f>IFERROR(_xlfn.XLOOKUP(B4,会员档案!$A:$A,会员档案!$E:$E),"")</f>
        <v/>
      </c>
      <c r="H4" s="31">
        <f>IFERROR(_xlfn.XLOOKUP(B4,会员档案!$A:$A,会员档案!$F:$F),"")</f>
        <v/>
      </c>
      <c r="I4" s="31">
        <f>IF(B4="","",IFERROR(VLOOKUP(B4,会员档案!$A:$Q,17,FALSE),""))</f>
        <v/>
      </c>
      <c r="J4" s="11">
        <f>IF(B4="","",IF(OR(H4="次卡",H4="期限卡"),"是","否"))</f>
        <v/>
      </c>
      <c r="K4" s="31">
        <f>IF(J4="是",1,0)</f>
        <v/>
      </c>
      <c r="L4" s="11" t="inlineStr">
        <is>
          <t>核心</t>
        </is>
      </c>
      <c r="M4" s="11" t="n">
        <v>1</v>
      </c>
    </row>
    <row r="5">
      <c r="A5" t="n">
        <v>4</v>
      </c>
      <c r="B5" t="inlineStr">
        <is>
          <t>M005</t>
        </is>
      </c>
      <c r="C5" s="31">
        <f>IFERROR(_xlfn.XLOOKUP(B5,会员档案!$A:$A,会员档案!$B:$B),"")</f>
        <v/>
      </c>
      <c r="D5" s="50" t="n">
        <v>46262</v>
      </c>
      <c r="E5" s="34" t="n">
        <v>0.9270833333333334</v>
      </c>
      <c r="F5" s="31">
        <f>IFERROR(_xlfn.XLOOKUP(B5,会员档案!$A:$A,会员档案!$D:$D),"")</f>
        <v/>
      </c>
      <c r="G5" s="31">
        <f>IFERROR(_xlfn.XLOOKUP(B5,会员档案!$A:$A,会员档案!$E:$E),"")</f>
        <v/>
      </c>
      <c r="H5" s="31">
        <f>IFERROR(_xlfn.XLOOKUP(B5,会员档案!$A:$A,会员档案!$F:$F),"")</f>
        <v/>
      </c>
      <c r="I5" s="31">
        <f>IF(B5="","",IFERROR(VLOOKUP(B5,会员档案!$A:$Q,17,FALSE),""))</f>
        <v/>
      </c>
      <c r="J5" s="11">
        <f>IF(B5="","",IF(OR(H5="次卡",H5="期限卡"),"是","否"))</f>
        <v/>
      </c>
      <c r="K5" s="31">
        <f>IF(J5="是",1,0)</f>
        <v/>
      </c>
      <c r="L5" s="11" t="inlineStr">
        <is>
          <t>全身塑形</t>
        </is>
      </c>
      <c r="M5" s="11" t="inlineStr">
        <is>
          <t>1</t>
        </is>
      </c>
    </row>
    <row r="6">
      <c r="C6" s="31">
        <f>IFERROR(_xlfn.XLOOKUP(B6,会员档案!$A:$A,会员档案!$B:$B),"")</f>
        <v/>
      </c>
      <c r="F6" s="31">
        <f>IFERROR(_xlfn.XLOOKUP(B6,会员档案!$A:$A,会员档案!$D:$D),"")</f>
        <v/>
      </c>
      <c r="G6" s="31">
        <f>IFERROR(_xlfn.XLOOKUP(B6,会员档案!$A:$A,会员档案!$E:$E),"")</f>
        <v/>
      </c>
      <c r="H6" s="31">
        <f>IFERROR(_xlfn.XLOOKUP(B6,会员档案!$A:$A,会员档案!$F:$F),"")</f>
        <v/>
      </c>
      <c r="I6" s="31">
        <f>IF(B6="","",IFERROR(VLOOKUP(B6,会员档案!$A:$Q,17,FALSE),""))</f>
        <v/>
      </c>
      <c r="J6" s="11">
        <f>IF(B6="","",IF(OR(H6="次卡",H6="期限卡"),"是","否"))</f>
        <v/>
      </c>
      <c r="K6" s="31">
        <f>IF(J6="是",1,0)</f>
        <v/>
      </c>
    </row>
    <row r="7">
      <c r="C7" s="31">
        <f>IFERROR(_xlfn.XLOOKUP(B7,会员档案!$A:$A,会员档案!$B:$B),"")</f>
        <v/>
      </c>
      <c r="F7" s="31">
        <f>IFERROR(_xlfn.XLOOKUP(B7,会员档案!$A:$A,会员档案!$D:$D),"")</f>
        <v/>
      </c>
      <c r="G7" s="31">
        <f>IFERROR(_xlfn.XLOOKUP(B7,会员档案!$A:$A,会员档案!$E:$E),"")</f>
        <v/>
      </c>
      <c r="H7" s="31">
        <f>IFERROR(_xlfn.XLOOKUP(B7,会员档案!$A:$A,会员档案!$F:$F),"")</f>
        <v/>
      </c>
      <c r="I7" s="31">
        <f>IF(B7="","",IFERROR(VLOOKUP(B7,会员档案!$A:$Q,17,FALSE),""))</f>
        <v/>
      </c>
      <c r="J7" s="11">
        <f>IF(B7="","",IF(OR(H7="次卡",H7="期限卡"),"是","否"))</f>
        <v/>
      </c>
      <c r="K7" s="31">
        <f>IF(J7="是",1,0)</f>
        <v/>
      </c>
    </row>
    <row r="8">
      <c r="C8" s="31">
        <f>IFERROR(_xlfn.XLOOKUP(B8,会员档案!$A:$A,会员档案!$B:$B),"")</f>
        <v/>
      </c>
      <c r="F8" s="31">
        <f>IFERROR(_xlfn.XLOOKUP(B8,会员档案!$A:$A,会员档案!$D:$D),"")</f>
        <v/>
      </c>
      <c r="G8" s="31">
        <f>IFERROR(_xlfn.XLOOKUP(B8,会员档案!$A:$A,会员档案!$E:$E),"")</f>
        <v/>
      </c>
      <c r="H8" s="31">
        <f>IFERROR(_xlfn.XLOOKUP(B8,会员档案!$A:$A,会员档案!$F:$F),"")</f>
        <v/>
      </c>
      <c r="I8" s="31">
        <f>IF(B8="","",IFERROR(VLOOKUP(B8,会员档案!$A:$Q,17,FALSE),""))</f>
        <v/>
      </c>
      <c r="J8" s="11">
        <f>IF(B8="","",IF(OR(H8="次卡",H8="期限卡"),"是","否"))</f>
        <v/>
      </c>
      <c r="K8" s="31">
        <f>IF(J8="是",1,0)</f>
        <v/>
      </c>
    </row>
    <row r="9">
      <c r="C9" s="31">
        <f>IFERROR(_xlfn.XLOOKUP(B9,会员档案!$A:$A,会员档案!$B:$B),"")</f>
        <v/>
      </c>
      <c r="F9" s="31">
        <f>IFERROR(_xlfn.XLOOKUP(B9,会员档案!$A:$A,会员档案!$D:$D),"")</f>
        <v/>
      </c>
      <c r="G9" s="31">
        <f>IFERROR(_xlfn.XLOOKUP(B9,会员档案!$A:$A,会员档案!$E:$E),"")</f>
        <v/>
      </c>
      <c r="H9" s="31">
        <f>IFERROR(_xlfn.XLOOKUP(B9,会员档案!$A:$A,会员档案!$F:$F),"")</f>
        <v/>
      </c>
      <c r="I9" s="31">
        <f>IF(B9="","",IFERROR(VLOOKUP(B9,会员档案!$A:$Q,17,FALSE),""))</f>
        <v/>
      </c>
      <c r="J9" s="11">
        <f>IF(B9="","",IF(OR(H9="次卡",H9="期限卡"),"是","否"))</f>
        <v/>
      </c>
      <c r="K9" s="31">
        <f>IF(J9="是",1,0)</f>
        <v/>
      </c>
    </row>
    <row r="10">
      <c r="C10" s="31">
        <f>IFERROR(_xlfn.XLOOKUP(B10,会员档案!$A:$A,会员档案!$B:$B),"")</f>
        <v/>
      </c>
      <c r="F10" s="31">
        <f>IFERROR(_xlfn.XLOOKUP(B10,会员档案!$A:$A,会员档案!$D:$D),"")</f>
        <v/>
      </c>
      <c r="G10" s="31">
        <f>IFERROR(_xlfn.XLOOKUP(B10,会员档案!$A:$A,会员档案!$E:$E),"")</f>
        <v/>
      </c>
      <c r="H10" s="31">
        <f>IFERROR(_xlfn.XLOOKUP(B10,会员档案!$A:$A,会员档案!$F:$F),"")</f>
        <v/>
      </c>
      <c r="I10" s="31">
        <f>IF(B10="","",IFERROR(VLOOKUP(B10,会员档案!$A:$Q,17,FALSE),""))</f>
        <v/>
      </c>
      <c r="J10" s="11">
        <f>IF(B10="","",IF(OR(H10="次卡",H10="期限卡"),"是","否"))</f>
        <v/>
      </c>
      <c r="K10" s="31">
        <f>IF(J10="是",1,0)</f>
        <v/>
      </c>
    </row>
    <row r="11">
      <c r="C11" s="31">
        <f>IFERROR(_xlfn.XLOOKUP(B11,会员档案!$A:$A,会员档案!$B:$B),"")</f>
        <v/>
      </c>
      <c r="F11" s="31">
        <f>IFERROR(_xlfn.XLOOKUP(B11,会员档案!$A:$A,会员档案!$D:$D),"")</f>
        <v/>
      </c>
      <c r="G11" s="31">
        <f>IFERROR(_xlfn.XLOOKUP(B11,会员档案!$A:$A,会员档案!$E:$E),"")</f>
        <v/>
      </c>
      <c r="H11" s="31">
        <f>IFERROR(_xlfn.XLOOKUP(B11,会员档案!$A:$A,会员档案!$F:$F),"")</f>
        <v/>
      </c>
      <c r="I11" s="31">
        <f>IF(B11="","",IFERROR(VLOOKUP(B11,会员档案!$A:$Q,17,FALSE),""))</f>
        <v/>
      </c>
      <c r="J11" s="11">
        <f>IF(B11="","",IF(OR(H11="次卡",H11="期限卡"),"是","否"))</f>
        <v/>
      </c>
      <c r="K11" s="31">
        <f>IF(J11="是",1,0)</f>
        <v/>
      </c>
    </row>
    <row r="12">
      <c r="C12" s="31">
        <f>IFERROR(_xlfn.XLOOKUP(B12,会员档案!$A:$A,会员档案!$B:$B),"")</f>
        <v/>
      </c>
      <c r="F12" s="31">
        <f>IFERROR(_xlfn.XLOOKUP(B12,会员档案!$A:$A,会员档案!$D:$D),"")</f>
        <v/>
      </c>
      <c r="G12" s="31">
        <f>IFERROR(_xlfn.XLOOKUP(B12,会员档案!$A:$A,会员档案!$E:$E),"")</f>
        <v/>
      </c>
      <c r="H12" s="31">
        <f>IFERROR(_xlfn.XLOOKUP(B12,会员档案!$A:$A,会员档案!$F:$F),"")</f>
        <v/>
      </c>
      <c r="I12" s="31">
        <f>IF(B12="","",IFERROR(VLOOKUP(B12,会员档案!$A:$Q,17,FALSE),""))</f>
        <v/>
      </c>
      <c r="J12" s="11">
        <f>IF(B12="","",IF(OR(H12="次卡",H12="期限卡"),"是","否"))</f>
        <v/>
      </c>
      <c r="K12" s="31">
        <f>IF(J12="是",1,0)</f>
        <v/>
      </c>
    </row>
    <row r="13">
      <c r="C13" s="31">
        <f>IFERROR(_xlfn.XLOOKUP(B13,会员档案!$A:$A,会员档案!$B:$B),"")</f>
        <v/>
      </c>
      <c r="F13" s="31">
        <f>IFERROR(_xlfn.XLOOKUP(B13,会员档案!$A:$A,会员档案!$D:$D),"")</f>
        <v/>
      </c>
      <c r="G13" s="31">
        <f>IFERROR(_xlfn.XLOOKUP(B13,会员档案!$A:$A,会员档案!$E:$E),"")</f>
        <v/>
      </c>
      <c r="H13" s="31">
        <f>IFERROR(_xlfn.XLOOKUP(B13,会员档案!$A:$A,会员档案!$F:$F),"")</f>
        <v/>
      </c>
      <c r="I13" s="31">
        <f>IF(B13="","",IFERROR(VLOOKUP(B13,会员档案!$A:$Q,17,FALSE),""))</f>
        <v/>
      </c>
      <c r="J13" s="11">
        <f>IF(B13="","",IF(OR(H13="次卡",H13="期限卡"),"是","否"))</f>
        <v/>
      </c>
      <c r="K13" s="31">
        <f>IF(J13="是",1,0)</f>
        <v/>
      </c>
    </row>
    <row r="14">
      <c r="C14" s="31">
        <f>IFERROR(_xlfn.XLOOKUP(B14,会员档案!$A:$A,会员档案!$B:$B),"")</f>
        <v/>
      </c>
      <c r="F14" s="31">
        <f>IFERROR(_xlfn.XLOOKUP(B14,会员档案!$A:$A,会员档案!$D:$D),"")</f>
        <v/>
      </c>
      <c r="G14" s="31">
        <f>IFERROR(_xlfn.XLOOKUP(B14,会员档案!$A:$A,会员档案!$E:$E),"")</f>
        <v/>
      </c>
      <c r="H14" s="31">
        <f>IFERROR(_xlfn.XLOOKUP(B14,会员档案!$A:$A,会员档案!$F:$F),"")</f>
        <v/>
      </c>
      <c r="I14" s="31">
        <f>IF(B14="","",IFERROR(VLOOKUP(B14,会员档案!$A:$Q,17,FALSE),""))</f>
        <v/>
      </c>
      <c r="J14" s="11">
        <f>IF(B14="","",IF(OR(H14="次卡",H14="期限卡"),"是","否"))</f>
        <v/>
      </c>
      <c r="K14" s="31">
        <f>IF(J14="是",1,0)</f>
        <v/>
      </c>
    </row>
    <row r="15">
      <c r="C15" s="31">
        <f>IFERROR(_xlfn.XLOOKUP(B15,会员档案!$A:$A,会员档案!$B:$B),"")</f>
        <v/>
      </c>
      <c r="F15" s="31">
        <f>IFERROR(_xlfn.XLOOKUP(B15,会员档案!$A:$A,会员档案!$D:$D),"")</f>
        <v/>
      </c>
      <c r="G15" s="31">
        <f>IFERROR(_xlfn.XLOOKUP(B15,会员档案!$A:$A,会员档案!$E:$E),"")</f>
        <v/>
      </c>
      <c r="H15" s="31">
        <f>IFERROR(_xlfn.XLOOKUP(B15,会员档案!$A:$A,会员档案!$F:$F),"")</f>
        <v/>
      </c>
      <c r="I15" s="31">
        <f>IF(B15="","",IFERROR(VLOOKUP(B15,会员档案!$A:$Q,17,FALSE),""))</f>
        <v/>
      </c>
      <c r="J15" s="11">
        <f>IF(B15="","",IF(OR(H15="次卡",H15="期限卡"),"是","否"))</f>
        <v/>
      </c>
      <c r="K15" s="31">
        <f>IF(J15="是",1,0)</f>
        <v/>
      </c>
    </row>
    <row r="16">
      <c r="C16" s="31">
        <f>IFERROR(_xlfn.XLOOKUP(B16,会员档案!$A:$A,会员档案!$B:$B),"")</f>
        <v/>
      </c>
      <c r="F16" s="31">
        <f>IFERROR(_xlfn.XLOOKUP(B16,会员档案!$A:$A,会员档案!$D:$D),"")</f>
        <v/>
      </c>
      <c r="G16" s="31">
        <f>IFERROR(_xlfn.XLOOKUP(B16,会员档案!$A:$A,会员档案!$E:$E),"")</f>
        <v/>
      </c>
      <c r="H16" s="31">
        <f>IFERROR(_xlfn.XLOOKUP(B16,会员档案!$A:$A,会员档案!$F:$F),"")</f>
        <v/>
      </c>
      <c r="I16" s="31">
        <f>IF(B16="","",IFERROR(VLOOKUP(B16,会员档案!$A:$Q,17,FALSE),""))</f>
        <v/>
      </c>
      <c r="J16" s="11">
        <f>IF(B16="","",IF(OR(H16="次卡",H16="期限卡"),"是","否"))</f>
        <v/>
      </c>
      <c r="K16" s="31">
        <f>IF(J16="是",1,0)</f>
        <v/>
      </c>
    </row>
    <row r="17">
      <c r="C17" s="31">
        <f>IFERROR(_xlfn.XLOOKUP(B17,会员档案!$A:$A,会员档案!$B:$B),"")</f>
        <v/>
      </c>
      <c r="F17" s="31">
        <f>IFERROR(_xlfn.XLOOKUP(B17,会员档案!$A:$A,会员档案!$D:$D),"")</f>
        <v/>
      </c>
      <c r="G17" s="31">
        <f>IFERROR(_xlfn.XLOOKUP(B17,会员档案!$A:$A,会员档案!$E:$E),"")</f>
        <v/>
      </c>
      <c r="H17" s="31">
        <f>IFERROR(_xlfn.XLOOKUP(B17,会员档案!$A:$A,会员档案!$F:$F),"")</f>
        <v/>
      </c>
      <c r="I17" s="31">
        <f>IF(B17="","",IFERROR(VLOOKUP(B17,会员档案!$A:$Q,17,FALSE),""))</f>
        <v/>
      </c>
      <c r="J17" s="11">
        <f>IF(B17="","",IF(OR(H17="次卡",H17="期限卡"),"是","否"))</f>
        <v/>
      </c>
      <c r="K17" s="31">
        <f>IF(J17="是",1,0)</f>
        <v/>
      </c>
    </row>
    <row r="18">
      <c r="C18" s="31">
        <f>IFERROR(_xlfn.XLOOKUP(B18,会员档案!$A:$A,会员档案!$B:$B),"")</f>
        <v/>
      </c>
      <c r="F18" s="31">
        <f>IFERROR(_xlfn.XLOOKUP(B18,会员档案!$A:$A,会员档案!$D:$D),"")</f>
        <v/>
      </c>
      <c r="G18" s="31">
        <f>IFERROR(_xlfn.XLOOKUP(B18,会员档案!$A:$A,会员档案!$E:$E),"")</f>
        <v/>
      </c>
      <c r="H18" s="31">
        <f>IFERROR(_xlfn.XLOOKUP(B18,会员档案!$A:$A,会员档案!$F:$F),"")</f>
        <v/>
      </c>
      <c r="I18" s="31">
        <f>IF(B18="","",IFERROR(VLOOKUP(B18,会员档案!$A:$Q,17,FALSE),""))</f>
        <v/>
      </c>
      <c r="J18" s="11">
        <f>IF(B18="","",IF(OR(H18="次卡",H18="期限卡"),"是","否"))</f>
        <v/>
      </c>
      <c r="K18" s="31">
        <f>IF(J18="是",1,0)</f>
        <v/>
      </c>
    </row>
    <row r="19">
      <c r="C19" s="31">
        <f>IFERROR(_xlfn.XLOOKUP(B19,会员档案!$A:$A,会员档案!$B:$B),"")</f>
        <v/>
      </c>
      <c r="F19" s="31">
        <f>IFERROR(_xlfn.XLOOKUP(B19,会员档案!$A:$A,会员档案!$D:$D),"")</f>
        <v/>
      </c>
      <c r="G19" s="31">
        <f>IFERROR(_xlfn.XLOOKUP(B19,会员档案!$A:$A,会员档案!$E:$E),"")</f>
        <v/>
      </c>
      <c r="H19" s="31">
        <f>IFERROR(_xlfn.XLOOKUP(B19,会员档案!$A:$A,会员档案!$F:$F),"")</f>
        <v/>
      </c>
      <c r="I19" s="31">
        <f>IF(B19="","",IFERROR(VLOOKUP(B19,会员档案!$A:$Q,17,FALSE),""))</f>
        <v/>
      </c>
      <c r="J19" s="11">
        <f>IF(B19="","",IF(OR(H19="次卡",H19="期限卡"),"是","否"))</f>
        <v/>
      </c>
      <c r="K19" s="31">
        <f>IF(J19="是",1,0)</f>
        <v/>
      </c>
    </row>
    <row r="20">
      <c r="C20" s="31">
        <f>IFERROR(_xlfn.XLOOKUP(B20,会员档案!$A:$A,会员档案!$B:$B),"")</f>
        <v/>
      </c>
      <c r="F20" s="31">
        <f>IFERROR(_xlfn.XLOOKUP(B20,会员档案!$A:$A,会员档案!$D:$D),"")</f>
        <v/>
      </c>
      <c r="G20" s="31">
        <f>IFERROR(_xlfn.XLOOKUP(B20,会员档案!$A:$A,会员档案!$E:$E),"")</f>
        <v/>
      </c>
      <c r="H20" s="31">
        <f>IFERROR(_xlfn.XLOOKUP(B20,会员档案!$A:$A,会员档案!$F:$F),"")</f>
        <v/>
      </c>
      <c r="I20" s="31">
        <f>IF(B20="","",IFERROR(VLOOKUP(B20,会员档案!$A:$Q,17,FALSE),""))</f>
        <v/>
      </c>
      <c r="J20" s="11">
        <f>IF(B20="","",IF(OR(H20="次卡",H20="期限卡"),"是","否"))</f>
        <v/>
      </c>
      <c r="K20" s="31">
        <f>IF(J20="是",1,0)</f>
        <v/>
      </c>
    </row>
    <row r="21">
      <c r="C21" s="31">
        <f>IFERROR(_xlfn.XLOOKUP(B21,会员档案!$A:$A,会员档案!$B:$B),"")</f>
        <v/>
      </c>
      <c r="F21" s="31">
        <f>IFERROR(_xlfn.XLOOKUP(B21,会员档案!$A:$A,会员档案!$D:$D),"")</f>
        <v/>
      </c>
      <c r="G21" s="31">
        <f>IFERROR(_xlfn.XLOOKUP(B21,会员档案!$A:$A,会员档案!$E:$E),"")</f>
        <v/>
      </c>
      <c r="H21" s="31">
        <f>IFERROR(_xlfn.XLOOKUP(B21,会员档案!$A:$A,会员档案!$F:$F),"")</f>
        <v/>
      </c>
      <c r="I21" s="31">
        <f>IF(B21="","",IFERROR(VLOOKUP(B21,会员档案!$A:$Q,17,FALSE),""))</f>
        <v/>
      </c>
      <c r="J21" s="11">
        <f>IF(B21="","",IF(OR(H21="次卡",H21="期限卡"),"是","否"))</f>
        <v/>
      </c>
      <c r="K21" s="31">
        <f>IF(J21="是",1,0)</f>
        <v/>
      </c>
    </row>
    <row r="22">
      <c r="C22" s="31">
        <f>IFERROR(_xlfn.XLOOKUP(B22,会员档案!$A:$A,会员档案!$B:$B),"")</f>
        <v/>
      </c>
      <c r="F22" s="31">
        <f>IFERROR(_xlfn.XLOOKUP(B22,会员档案!$A:$A,会员档案!$D:$D),"")</f>
        <v/>
      </c>
      <c r="G22" s="31">
        <f>IFERROR(_xlfn.XLOOKUP(B22,会员档案!$A:$A,会员档案!$E:$E),"")</f>
        <v/>
      </c>
      <c r="H22" s="31">
        <f>IFERROR(_xlfn.XLOOKUP(B22,会员档案!$A:$A,会员档案!$F:$F),"")</f>
        <v/>
      </c>
      <c r="I22" s="31">
        <f>IF(B22="","",IFERROR(VLOOKUP(B22,会员档案!$A:$Q,17,FALSE),""))</f>
        <v/>
      </c>
      <c r="J22" s="11">
        <f>IF(B22="","",IF(OR(H22="次卡",H22="期限卡"),"是","否"))</f>
        <v/>
      </c>
      <c r="K22" s="31">
        <f>IF(J22="是",1,0)</f>
        <v/>
      </c>
    </row>
    <row r="23">
      <c r="C23" s="31">
        <f>IFERROR(_xlfn.XLOOKUP(B23,会员档案!$A:$A,会员档案!$B:$B),"")</f>
        <v/>
      </c>
      <c r="F23" s="31">
        <f>IFERROR(_xlfn.XLOOKUP(B23,会员档案!$A:$A,会员档案!$D:$D),"")</f>
        <v/>
      </c>
      <c r="G23" s="31">
        <f>IFERROR(_xlfn.XLOOKUP(B23,会员档案!$A:$A,会员档案!$E:$E),"")</f>
        <v/>
      </c>
      <c r="H23" s="31">
        <f>IFERROR(_xlfn.XLOOKUP(B23,会员档案!$A:$A,会员档案!$F:$F),"")</f>
        <v/>
      </c>
      <c r="I23" s="31">
        <f>IF(B23="","",IFERROR(VLOOKUP(B23,会员档案!$A:$Q,17,FALSE),""))</f>
        <v/>
      </c>
      <c r="J23" s="11">
        <f>IF(B23="","",IF(OR(H23="次卡",H23="期限卡"),"是","否"))</f>
        <v/>
      </c>
      <c r="K23" s="31">
        <f>IF(J23="是",1,0)</f>
        <v/>
      </c>
    </row>
    <row r="24">
      <c r="C24" s="31">
        <f>IFERROR(_xlfn.XLOOKUP(B24,会员档案!$A:$A,会员档案!$B:$B),"")</f>
        <v/>
      </c>
      <c r="F24" s="31">
        <f>IFERROR(_xlfn.XLOOKUP(B24,会员档案!$A:$A,会员档案!$D:$D),"")</f>
        <v/>
      </c>
      <c r="G24" s="31">
        <f>IFERROR(_xlfn.XLOOKUP(B24,会员档案!$A:$A,会员档案!$E:$E),"")</f>
        <v/>
      </c>
      <c r="H24" s="31">
        <f>IFERROR(_xlfn.XLOOKUP(B24,会员档案!$A:$A,会员档案!$F:$F),"")</f>
        <v/>
      </c>
      <c r="I24" s="31">
        <f>IF(B24="","",IFERROR(VLOOKUP(B24,会员档案!$A:$Q,17,FALSE),""))</f>
        <v/>
      </c>
      <c r="J24" s="11">
        <f>IF(B24="","",IF(OR(H24="次卡",H24="期限卡"),"是","否"))</f>
        <v/>
      </c>
      <c r="K24" s="31">
        <f>IF(J24="是",1,0)</f>
        <v/>
      </c>
    </row>
    <row r="25">
      <c r="C25" s="31">
        <f>IFERROR(_xlfn.XLOOKUP(B25,会员档案!$A:$A,会员档案!$B:$B),"")</f>
        <v/>
      </c>
      <c r="F25" s="31">
        <f>IFERROR(_xlfn.XLOOKUP(B25,会员档案!$A:$A,会员档案!$D:$D),"")</f>
        <v/>
      </c>
      <c r="G25" s="31">
        <f>IFERROR(_xlfn.XLOOKUP(B25,会员档案!$A:$A,会员档案!$E:$E),"")</f>
        <v/>
      </c>
      <c r="H25" s="31">
        <f>IFERROR(_xlfn.XLOOKUP(B25,会员档案!$A:$A,会员档案!$F:$F),"")</f>
        <v/>
      </c>
      <c r="I25" s="31">
        <f>IF(B25="","",IFERROR(VLOOKUP(B25,会员档案!$A:$Q,17,FALSE),""))</f>
        <v/>
      </c>
      <c r="J25" s="11">
        <f>IF(B25="","",IF(OR(H25="次卡",H25="期限卡"),"是","否"))</f>
        <v/>
      </c>
      <c r="K25" s="31">
        <f>IF(J25="是",1,0)</f>
        <v/>
      </c>
    </row>
    <row r="26">
      <c r="C26" s="31">
        <f>IFERROR(_xlfn.XLOOKUP(B26,会员档案!$A:$A,会员档案!$B:$B),"")</f>
        <v/>
      </c>
      <c r="F26" s="31">
        <f>IFERROR(_xlfn.XLOOKUP(B26,会员档案!$A:$A,会员档案!$D:$D),"")</f>
        <v/>
      </c>
      <c r="G26" s="31">
        <f>IFERROR(_xlfn.XLOOKUP(B26,会员档案!$A:$A,会员档案!$E:$E),"")</f>
        <v/>
      </c>
      <c r="H26" s="31">
        <f>IFERROR(_xlfn.XLOOKUP(B26,会员档案!$A:$A,会员档案!$F:$F),"")</f>
        <v/>
      </c>
      <c r="I26" s="31">
        <f>IF(B26="","",IFERROR(VLOOKUP(B26,会员档案!$A:$Q,17,FALSE),""))</f>
        <v/>
      </c>
      <c r="J26" s="11">
        <f>IF(B26="","",IF(OR(H26="次卡",H26="期限卡"),"是","否"))</f>
        <v/>
      </c>
      <c r="K26" s="31">
        <f>IF(J26="是",1,0)</f>
        <v/>
      </c>
    </row>
    <row r="27">
      <c r="C27" s="31">
        <f>IFERROR(_xlfn.XLOOKUP(B27,会员档案!$A:$A,会员档案!$B:$B),"")</f>
        <v/>
      </c>
      <c r="F27" s="31">
        <f>IFERROR(_xlfn.XLOOKUP(B27,会员档案!$A:$A,会员档案!$D:$D),"")</f>
        <v/>
      </c>
      <c r="G27" s="31">
        <f>IFERROR(_xlfn.XLOOKUP(B27,会员档案!$A:$A,会员档案!$E:$E),"")</f>
        <v/>
      </c>
      <c r="H27" s="31">
        <f>IFERROR(_xlfn.XLOOKUP(B27,会员档案!$A:$A,会员档案!$F:$F),"")</f>
        <v/>
      </c>
      <c r="I27" s="31">
        <f>IF(B27="","",IFERROR(VLOOKUP(B27,会员档案!$A:$Q,17,FALSE),""))</f>
        <v/>
      </c>
      <c r="J27" s="11">
        <f>IF(B27="","",IF(OR(H27="次卡",H27="期限卡"),"是","否"))</f>
        <v/>
      </c>
      <c r="K27" s="31">
        <f>IF(J27="是",1,0)</f>
        <v/>
      </c>
    </row>
    <row r="28">
      <c r="C28" s="31">
        <f>IFERROR(_xlfn.XLOOKUP(B28,会员档案!$A:$A,会员档案!$B:$B),"")</f>
        <v/>
      </c>
      <c r="F28" s="31">
        <f>IFERROR(_xlfn.XLOOKUP(B28,会员档案!$A:$A,会员档案!$D:$D),"")</f>
        <v/>
      </c>
      <c r="G28" s="31">
        <f>IFERROR(_xlfn.XLOOKUP(B28,会员档案!$A:$A,会员档案!$E:$E),"")</f>
        <v/>
      </c>
      <c r="H28" s="31">
        <f>IFERROR(_xlfn.XLOOKUP(B28,会员档案!$A:$A,会员档案!$F:$F),"")</f>
        <v/>
      </c>
      <c r="I28" s="31">
        <f>IF(B28="","",IFERROR(VLOOKUP(B28,会员档案!$A:$Q,17,FALSE),""))</f>
        <v/>
      </c>
      <c r="J28" s="11">
        <f>IF(B28="","",IF(OR(H28="次卡",H28="期限卡"),"是","否"))</f>
        <v/>
      </c>
      <c r="K28" s="31">
        <f>IF(J28="是",1,0)</f>
        <v/>
      </c>
    </row>
    <row r="29">
      <c r="C29" s="31">
        <f>IFERROR(_xlfn.XLOOKUP(B29,会员档案!$A:$A,会员档案!$B:$B),"")</f>
        <v/>
      </c>
      <c r="F29" s="31">
        <f>IFERROR(_xlfn.XLOOKUP(B29,会员档案!$A:$A,会员档案!$D:$D),"")</f>
        <v/>
      </c>
      <c r="G29" s="31">
        <f>IFERROR(_xlfn.XLOOKUP(B29,会员档案!$A:$A,会员档案!$E:$E),"")</f>
        <v/>
      </c>
      <c r="H29" s="31">
        <f>IFERROR(_xlfn.XLOOKUP(B29,会员档案!$A:$A,会员档案!$F:$F),"")</f>
        <v/>
      </c>
      <c r="I29" s="31">
        <f>IF(B29="","",IFERROR(VLOOKUP(B29,会员档案!$A:$Q,17,FALSE),""))</f>
        <v/>
      </c>
      <c r="J29" s="11">
        <f>IF(B29="","",IF(OR(H29="次卡",H29="期限卡"),"是","否"))</f>
        <v/>
      </c>
      <c r="K29" s="31">
        <f>IF(J29="是",1,0)</f>
        <v/>
      </c>
    </row>
    <row r="30">
      <c r="C30" s="31">
        <f>IFERROR(_xlfn.XLOOKUP(B30,会员档案!$A:$A,会员档案!$B:$B),"")</f>
        <v/>
      </c>
      <c r="F30" s="31">
        <f>IFERROR(_xlfn.XLOOKUP(B30,会员档案!$A:$A,会员档案!$D:$D),"")</f>
        <v/>
      </c>
      <c r="G30" s="31">
        <f>IFERROR(_xlfn.XLOOKUP(B30,会员档案!$A:$A,会员档案!$E:$E),"")</f>
        <v/>
      </c>
      <c r="H30" s="31">
        <f>IFERROR(_xlfn.XLOOKUP(B30,会员档案!$A:$A,会员档案!$F:$F),"")</f>
        <v/>
      </c>
      <c r="I30" s="31">
        <f>IF(B30="","",IFERROR(VLOOKUP(B30,会员档案!$A:$Q,17,FALSE),""))</f>
        <v/>
      </c>
      <c r="J30" s="11">
        <f>IF(B30="","",IF(OR(H30="次卡",H30="期限卡"),"是","否"))</f>
        <v/>
      </c>
      <c r="K30" s="31">
        <f>IF(J30="是",1,0)</f>
        <v/>
      </c>
    </row>
    <row r="31">
      <c r="C31" s="31">
        <f>IFERROR(_xlfn.XLOOKUP(B31,会员档案!$A:$A,会员档案!$B:$B),"")</f>
        <v/>
      </c>
      <c r="F31" s="31">
        <f>IFERROR(_xlfn.XLOOKUP(B31,会员档案!$A:$A,会员档案!$D:$D),"")</f>
        <v/>
      </c>
      <c r="G31" s="31">
        <f>IFERROR(_xlfn.XLOOKUP(B31,会员档案!$A:$A,会员档案!$E:$E),"")</f>
        <v/>
      </c>
      <c r="H31" s="31">
        <f>IFERROR(_xlfn.XLOOKUP(B31,会员档案!$A:$A,会员档案!$F:$F),"")</f>
        <v/>
      </c>
      <c r="I31" s="31">
        <f>IF(B31="","",IFERROR(VLOOKUP(B31,会员档案!$A:$Q,17,FALSE),""))</f>
        <v/>
      </c>
      <c r="J31" s="11">
        <f>IF(B31="","",IF(OR(H31="次卡",H31="期限卡"),"是","否"))</f>
        <v/>
      </c>
      <c r="K31" s="31">
        <f>IF(J31="是",1,0)</f>
        <v/>
      </c>
    </row>
    <row r="32">
      <c r="C32" s="31">
        <f>IFERROR(_xlfn.XLOOKUP(B32,会员档案!$A:$A,会员档案!$B:$B),"")</f>
        <v/>
      </c>
      <c r="F32" s="31">
        <f>IFERROR(_xlfn.XLOOKUP(B32,会员档案!$A:$A,会员档案!$D:$D),"")</f>
        <v/>
      </c>
      <c r="G32" s="31">
        <f>IFERROR(_xlfn.XLOOKUP(B32,会员档案!$A:$A,会员档案!$E:$E),"")</f>
        <v/>
      </c>
      <c r="H32" s="31">
        <f>IFERROR(_xlfn.XLOOKUP(B32,会员档案!$A:$A,会员档案!$F:$F),"")</f>
        <v/>
      </c>
      <c r="I32" s="31">
        <f>IF(B32="","",IFERROR(VLOOKUP(B32,会员档案!$A:$Q,17,FALSE),""))</f>
        <v/>
      </c>
      <c r="J32" s="11">
        <f>IF(B32="","",IF(OR(H32="次卡",H32="期限卡"),"是","否"))</f>
        <v/>
      </c>
      <c r="K32" s="31">
        <f>IF(J32="是",1,0)</f>
        <v/>
      </c>
    </row>
    <row r="33">
      <c r="C33" s="31">
        <f>IFERROR(_xlfn.XLOOKUP(B33,会员档案!$A:$A,会员档案!$B:$B),"")</f>
        <v/>
      </c>
      <c r="F33" s="31">
        <f>IFERROR(_xlfn.XLOOKUP(B33,会员档案!$A:$A,会员档案!$D:$D),"")</f>
        <v/>
      </c>
      <c r="G33" s="31">
        <f>IFERROR(_xlfn.XLOOKUP(B33,会员档案!$A:$A,会员档案!$E:$E),"")</f>
        <v/>
      </c>
      <c r="H33" s="31">
        <f>IFERROR(_xlfn.XLOOKUP(B33,会员档案!$A:$A,会员档案!$F:$F),"")</f>
        <v/>
      </c>
      <c r="I33" s="31">
        <f>IF(B33="","",IFERROR(VLOOKUP(B33,会员档案!$A:$Q,17,FALSE),""))</f>
        <v/>
      </c>
      <c r="J33" s="11">
        <f>IF(B33="","",IF(OR(H33="次卡",H33="期限卡"),"是","否"))</f>
        <v/>
      </c>
      <c r="K33" s="31">
        <f>IF(J33="是",1,0)</f>
        <v/>
      </c>
    </row>
    <row r="34">
      <c r="C34" s="31">
        <f>IFERROR(_xlfn.XLOOKUP(B34,会员档案!$A:$A,会员档案!$B:$B),"")</f>
        <v/>
      </c>
      <c r="F34" s="31">
        <f>IFERROR(_xlfn.XLOOKUP(B34,会员档案!$A:$A,会员档案!$D:$D),"")</f>
        <v/>
      </c>
      <c r="G34" s="31">
        <f>IFERROR(_xlfn.XLOOKUP(B34,会员档案!$A:$A,会员档案!$E:$E),"")</f>
        <v/>
      </c>
      <c r="H34" s="31">
        <f>IFERROR(_xlfn.XLOOKUP(B34,会员档案!$A:$A,会员档案!$F:$F),"")</f>
        <v/>
      </c>
      <c r="I34" s="31">
        <f>IF(B34="","",IFERROR(VLOOKUP(B34,会员档案!$A:$Q,17,FALSE),""))</f>
        <v/>
      </c>
      <c r="J34" s="11">
        <f>IF(B34="","",IF(OR(H34="次卡",H34="期限卡"),"是","否"))</f>
        <v/>
      </c>
      <c r="K34" s="31">
        <f>IF(J34="是",1,0)</f>
        <v/>
      </c>
    </row>
    <row r="35">
      <c r="C35" s="31">
        <f>IFERROR(_xlfn.XLOOKUP(B35,会员档案!$A:$A,会员档案!$B:$B),"")</f>
        <v/>
      </c>
      <c r="F35" s="31">
        <f>IFERROR(_xlfn.XLOOKUP(B35,会员档案!$A:$A,会员档案!$D:$D),"")</f>
        <v/>
      </c>
      <c r="G35" s="31">
        <f>IFERROR(_xlfn.XLOOKUP(B35,会员档案!$A:$A,会员档案!$E:$E),"")</f>
        <v/>
      </c>
      <c r="H35" s="31">
        <f>IFERROR(_xlfn.XLOOKUP(B35,会员档案!$A:$A,会员档案!$F:$F),"")</f>
        <v/>
      </c>
      <c r="I35" s="31">
        <f>IF(B35="","",IFERROR(VLOOKUP(B35,会员档案!$A:$Q,17,FALSE),""))</f>
        <v/>
      </c>
      <c r="J35" s="11">
        <f>IF(B35="","",IF(OR(H35="次卡",H35="期限卡"),"是","否"))</f>
        <v/>
      </c>
      <c r="K35" s="31">
        <f>IF(J35="是",1,0)</f>
        <v/>
      </c>
    </row>
    <row r="36">
      <c r="C36" s="31">
        <f>IFERROR(_xlfn.XLOOKUP(B36,会员档案!$A:$A,会员档案!$B:$B),"")</f>
        <v/>
      </c>
      <c r="F36" s="31">
        <f>IFERROR(_xlfn.XLOOKUP(B36,会员档案!$A:$A,会员档案!$D:$D),"")</f>
        <v/>
      </c>
      <c r="G36" s="31">
        <f>IFERROR(_xlfn.XLOOKUP(B36,会员档案!$A:$A,会员档案!$E:$E),"")</f>
        <v/>
      </c>
      <c r="H36" s="31">
        <f>IFERROR(_xlfn.XLOOKUP(B36,会员档案!$A:$A,会员档案!$F:$F),"")</f>
        <v/>
      </c>
      <c r="I36" s="31">
        <f>IF(B36="","",IFERROR(VLOOKUP(B36,会员档案!$A:$Q,17,FALSE),""))</f>
        <v/>
      </c>
      <c r="J36" s="11">
        <f>IF(B36="","",IF(OR(H36="次卡",H36="期限卡"),"是","否"))</f>
        <v/>
      </c>
      <c r="K36" s="31">
        <f>IF(J36="是",1,0)</f>
        <v/>
      </c>
    </row>
    <row r="37">
      <c r="C37" s="31">
        <f>IFERROR(_xlfn.XLOOKUP(B37,会员档案!$A:$A,会员档案!$B:$B),"")</f>
        <v/>
      </c>
      <c r="F37" s="31">
        <f>IFERROR(_xlfn.XLOOKUP(B37,会员档案!$A:$A,会员档案!$D:$D),"")</f>
        <v/>
      </c>
      <c r="G37" s="31">
        <f>IFERROR(_xlfn.XLOOKUP(B37,会员档案!$A:$A,会员档案!$E:$E),"")</f>
        <v/>
      </c>
      <c r="H37" s="31">
        <f>IFERROR(_xlfn.XLOOKUP(B37,会员档案!$A:$A,会员档案!$F:$F),"")</f>
        <v/>
      </c>
      <c r="I37" s="31">
        <f>IF(B37="","",IFERROR(VLOOKUP(B37,会员档案!$A:$Q,17,FALSE),""))</f>
        <v/>
      </c>
      <c r="J37" s="11">
        <f>IF(B37="","",IF(OR(H37="次卡",H37="期限卡"),"是","否"))</f>
        <v/>
      </c>
      <c r="K37" s="31">
        <f>IF(J37="是",1,0)</f>
        <v/>
      </c>
    </row>
    <row r="38">
      <c r="C38" s="31">
        <f>IFERROR(_xlfn.XLOOKUP(B38,会员档案!$A:$A,会员档案!$B:$B),"")</f>
        <v/>
      </c>
      <c r="F38" s="31">
        <f>IFERROR(_xlfn.XLOOKUP(B38,会员档案!$A:$A,会员档案!$D:$D),"")</f>
        <v/>
      </c>
      <c r="G38" s="31">
        <f>IFERROR(_xlfn.XLOOKUP(B38,会员档案!$A:$A,会员档案!$E:$E),"")</f>
        <v/>
      </c>
      <c r="H38" s="31">
        <f>IFERROR(_xlfn.XLOOKUP(B38,会员档案!$A:$A,会员档案!$F:$F),"")</f>
        <v/>
      </c>
      <c r="I38" s="31">
        <f>IF(B38="","",IFERROR(VLOOKUP(B38,会员档案!$A:$Q,17,FALSE),""))</f>
        <v/>
      </c>
      <c r="J38" s="11">
        <f>IF(B38="","",IF(OR(H38="次卡",H38="期限卡"),"是","否"))</f>
        <v/>
      </c>
      <c r="K38" s="31">
        <f>IF(J38="是",1,0)</f>
        <v/>
      </c>
    </row>
    <row r="39">
      <c r="C39" s="31">
        <f>IFERROR(_xlfn.XLOOKUP(B39,会员档案!$A:$A,会员档案!$B:$B),"")</f>
        <v/>
      </c>
      <c r="F39" s="31">
        <f>IFERROR(_xlfn.XLOOKUP(B39,会员档案!$A:$A,会员档案!$D:$D),"")</f>
        <v/>
      </c>
      <c r="G39" s="31">
        <f>IFERROR(_xlfn.XLOOKUP(B39,会员档案!$A:$A,会员档案!$E:$E),"")</f>
        <v/>
      </c>
      <c r="H39" s="31">
        <f>IFERROR(_xlfn.XLOOKUP(B39,会员档案!$A:$A,会员档案!$F:$F),"")</f>
        <v/>
      </c>
      <c r="I39" s="31">
        <f>IF(B39="","",IFERROR(VLOOKUP(B39,会员档案!$A:$Q,17,FALSE),""))</f>
        <v/>
      </c>
      <c r="J39" s="11">
        <f>IF(B39="","",IF(OR(H39="次卡",H39="期限卡"),"是","否"))</f>
        <v/>
      </c>
      <c r="K39" s="31">
        <f>IF(J39="是",1,0)</f>
        <v/>
      </c>
    </row>
    <row r="40">
      <c r="C40" s="31">
        <f>IFERROR(_xlfn.XLOOKUP(B40,会员档案!$A:$A,会员档案!$B:$B),"")</f>
        <v/>
      </c>
      <c r="F40" s="31">
        <f>IFERROR(_xlfn.XLOOKUP(B40,会员档案!$A:$A,会员档案!$D:$D),"")</f>
        <v/>
      </c>
      <c r="G40" s="31">
        <f>IFERROR(_xlfn.XLOOKUP(B40,会员档案!$A:$A,会员档案!$E:$E),"")</f>
        <v/>
      </c>
      <c r="H40" s="31">
        <f>IFERROR(_xlfn.XLOOKUP(B40,会员档案!$A:$A,会员档案!$F:$F),"")</f>
        <v/>
      </c>
      <c r="I40" s="31">
        <f>IF(B40="","",IFERROR(VLOOKUP(B40,会员档案!$A:$Q,17,FALSE),""))</f>
        <v/>
      </c>
      <c r="J40" s="11">
        <f>IF(B40="","",IF(OR(H40="次卡",H40="期限卡"),"是","否"))</f>
        <v/>
      </c>
      <c r="K40" s="31">
        <f>IF(J40="是",1,0)</f>
        <v/>
      </c>
    </row>
    <row r="41">
      <c r="C41" s="31">
        <f>IFERROR(_xlfn.XLOOKUP(B41,会员档案!$A:$A,会员档案!$B:$B),"")</f>
        <v/>
      </c>
      <c r="F41" s="31">
        <f>IFERROR(_xlfn.XLOOKUP(B41,会员档案!$A:$A,会员档案!$D:$D),"")</f>
        <v/>
      </c>
      <c r="G41" s="31">
        <f>IFERROR(_xlfn.XLOOKUP(B41,会员档案!$A:$A,会员档案!$E:$E),"")</f>
        <v/>
      </c>
      <c r="H41" s="31">
        <f>IFERROR(_xlfn.XLOOKUP(B41,会员档案!$A:$A,会员档案!$F:$F),"")</f>
        <v/>
      </c>
      <c r="I41" s="31">
        <f>IF(B41="","",IFERROR(VLOOKUP(B41,会员档案!$A:$Q,17,FALSE),""))</f>
        <v/>
      </c>
      <c r="J41" s="11">
        <f>IF(B41="","",IF(OR(H41="次卡",H41="期限卡"),"是","否"))</f>
        <v/>
      </c>
      <c r="K41" s="31">
        <f>IF(J41="是",1,0)</f>
        <v/>
      </c>
    </row>
    <row r="42">
      <c r="C42" s="31">
        <f>IFERROR(_xlfn.XLOOKUP(B42,会员档案!$A:$A,会员档案!$B:$B),"")</f>
        <v/>
      </c>
      <c r="F42" s="31">
        <f>IFERROR(_xlfn.XLOOKUP(B42,会员档案!$A:$A,会员档案!$D:$D),"")</f>
        <v/>
      </c>
      <c r="G42" s="31">
        <f>IFERROR(_xlfn.XLOOKUP(B42,会员档案!$A:$A,会员档案!$E:$E),"")</f>
        <v/>
      </c>
      <c r="H42" s="31">
        <f>IFERROR(_xlfn.XLOOKUP(B42,会员档案!$A:$A,会员档案!$F:$F),"")</f>
        <v/>
      </c>
      <c r="I42" s="31">
        <f>IF(B42="","",IFERROR(VLOOKUP(B42,会员档案!$A:$Q,17,FALSE),""))</f>
        <v/>
      </c>
      <c r="J42" s="11">
        <f>IF(B42="","",IF(OR(H42="次卡",H42="期限卡"),"是","否"))</f>
        <v/>
      </c>
      <c r="K42" s="31">
        <f>IF(J42="是",1,0)</f>
        <v/>
      </c>
    </row>
    <row r="43">
      <c r="C43" s="31">
        <f>IFERROR(_xlfn.XLOOKUP(B43,会员档案!$A:$A,会员档案!$B:$B),"")</f>
        <v/>
      </c>
      <c r="F43" s="31">
        <f>IFERROR(_xlfn.XLOOKUP(B43,会员档案!$A:$A,会员档案!$D:$D),"")</f>
        <v/>
      </c>
      <c r="G43" s="31">
        <f>IFERROR(_xlfn.XLOOKUP(B43,会员档案!$A:$A,会员档案!$E:$E),"")</f>
        <v/>
      </c>
      <c r="H43" s="31">
        <f>IFERROR(_xlfn.XLOOKUP(B43,会员档案!$A:$A,会员档案!$F:$F),"")</f>
        <v/>
      </c>
      <c r="I43" s="31">
        <f>IF(B43="","",IFERROR(VLOOKUP(B43,会员档案!$A:$Q,17,FALSE),""))</f>
        <v/>
      </c>
      <c r="J43" s="11">
        <f>IF(B43="","",IF(OR(H43="次卡",H43="期限卡"),"是","否"))</f>
        <v/>
      </c>
      <c r="K43" s="31">
        <f>IF(J43="是",1,0)</f>
        <v/>
      </c>
    </row>
    <row r="44">
      <c r="C44" s="31">
        <f>IFERROR(_xlfn.XLOOKUP(B44,会员档案!$A:$A,会员档案!$B:$B),"")</f>
        <v/>
      </c>
      <c r="F44" s="31">
        <f>IFERROR(_xlfn.XLOOKUP(B44,会员档案!$A:$A,会员档案!$D:$D),"")</f>
        <v/>
      </c>
      <c r="G44" s="31">
        <f>IFERROR(_xlfn.XLOOKUP(B44,会员档案!$A:$A,会员档案!$E:$E),"")</f>
        <v/>
      </c>
      <c r="H44" s="31">
        <f>IFERROR(_xlfn.XLOOKUP(B44,会员档案!$A:$A,会员档案!$F:$F),"")</f>
        <v/>
      </c>
      <c r="I44" s="31">
        <f>IF(B44="","",IFERROR(VLOOKUP(B44,会员档案!$A:$Q,17,FALSE),""))</f>
        <v/>
      </c>
      <c r="J44" s="11">
        <f>IF(B44="","",IF(OR(H44="次卡",H44="期限卡"),"是","否"))</f>
        <v/>
      </c>
      <c r="K44" s="31">
        <f>IF(J44="是",1,0)</f>
        <v/>
      </c>
    </row>
    <row r="45">
      <c r="C45" s="31">
        <f>IFERROR(_xlfn.XLOOKUP(B45,会员档案!$A:$A,会员档案!$B:$B),"")</f>
        <v/>
      </c>
      <c r="F45" s="31">
        <f>IFERROR(_xlfn.XLOOKUP(B45,会员档案!$A:$A,会员档案!$D:$D),"")</f>
        <v/>
      </c>
      <c r="G45" s="31">
        <f>IFERROR(_xlfn.XLOOKUP(B45,会员档案!$A:$A,会员档案!$E:$E),"")</f>
        <v/>
      </c>
      <c r="H45" s="31">
        <f>IFERROR(_xlfn.XLOOKUP(B45,会员档案!$A:$A,会员档案!$F:$F),"")</f>
        <v/>
      </c>
      <c r="I45" s="31">
        <f>IF(B45="","",IFERROR(VLOOKUP(B45,会员档案!$A:$Q,17,FALSE),""))</f>
        <v/>
      </c>
      <c r="J45" s="11">
        <f>IF(B45="","",IF(OR(H45="次卡",H45="期限卡"),"是","否"))</f>
        <v/>
      </c>
      <c r="K45" s="31">
        <f>IF(J45="是",1,0)</f>
        <v/>
      </c>
    </row>
    <row r="46">
      <c r="C46" s="31">
        <f>IFERROR(_xlfn.XLOOKUP(B46,会员档案!$A:$A,会员档案!$B:$B),"")</f>
        <v/>
      </c>
      <c r="F46" s="31">
        <f>IFERROR(_xlfn.XLOOKUP(B46,会员档案!$A:$A,会员档案!$D:$D),"")</f>
        <v/>
      </c>
      <c r="G46" s="31">
        <f>IFERROR(_xlfn.XLOOKUP(B46,会员档案!$A:$A,会员档案!$E:$E),"")</f>
        <v/>
      </c>
      <c r="H46" s="31">
        <f>IFERROR(_xlfn.XLOOKUP(B46,会员档案!$A:$A,会员档案!$F:$F),"")</f>
        <v/>
      </c>
      <c r="I46" s="31">
        <f>IF(B46="","",IFERROR(VLOOKUP(B46,会员档案!$A:$Q,17,FALSE),""))</f>
        <v/>
      </c>
      <c r="J46" s="11">
        <f>IF(B46="","",IF(OR(H46="次卡",H46="期限卡"),"是","否"))</f>
        <v/>
      </c>
      <c r="K46" s="31">
        <f>IF(J46="是",1,0)</f>
        <v/>
      </c>
    </row>
    <row r="47">
      <c r="C47" s="31">
        <f>IFERROR(_xlfn.XLOOKUP(B47,会员档案!$A:$A,会员档案!$B:$B),"")</f>
        <v/>
      </c>
      <c r="F47" s="31">
        <f>IFERROR(_xlfn.XLOOKUP(B47,会员档案!$A:$A,会员档案!$D:$D),"")</f>
        <v/>
      </c>
      <c r="G47" s="31">
        <f>IFERROR(_xlfn.XLOOKUP(B47,会员档案!$A:$A,会员档案!$E:$E),"")</f>
        <v/>
      </c>
      <c r="H47" s="31">
        <f>IFERROR(_xlfn.XLOOKUP(B47,会员档案!$A:$A,会员档案!$F:$F),"")</f>
        <v/>
      </c>
      <c r="I47" s="31">
        <f>IF(B47="","",IFERROR(VLOOKUP(B47,会员档案!$A:$Q,17,FALSE),""))</f>
        <v/>
      </c>
      <c r="J47" s="11">
        <f>IF(B47="","",IF(OR(H47="次卡",H47="期限卡"),"是","否"))</f>
        <v/>
      </c>
      <c r="K47" s="31">
        <f>IF(J47="是",1,0)</f>
        <v/>
      </c>
    </row>
    <row r="48">
      <c r="C48" s="31">
        <f>IFERROR(_xlfn.XLOOKUP(B48,会员档案!$A:$A,会员档案!$B:$B),"")</f>
        <v/>
      </c>
      <c r="F48" s="31">
        <f>IFERROR(_xlfn.XLOOKUP(B48,会员档案!$A:$A,会员档案!$D:$D),"")</f>
        <v/>
      </c>
      <c r="G48" s="31">
        <f>IFERROR(_xlfn.XLOOKUP(B48,会员档案!$A:$A,会员档案!$E:$E),"")</f>
        <v/>
      </c>
      <c r="H48" s="31">
        <f>IFERROR(_xlfn.XLOOKUP(B48,会员档案!$A:$A,会员档案!$F:$F),"")</f>
        <v/>
      </c>
      <c r="I48" s="31">
        <f>IF(B48="","",IFERROR(VLOOKUP(B48,会员档案!$A:$Q,17,FALSE),""))</f>
        <v/>
      </c>
      <c r="J48" s="11">
        <f>IF(B48="","",IF(OR(H48="次卡",H48="期限卡"),"是","否"))</f>
        <v/>
      </c>
      <c r="K48" s="31">
        <f>IF(J48="是",1,0)</f>
        <v/>
      </c>
    </row>
    <row r="49">
      <c r="C49" s="31">
        <f>IFERROR(_xlfn.XLOOKUP(B49,会员档案!$A:$A,会员档案!$B:$B),"")</f>
        <v/>
      </c>
      <c r="F49" s="31">
        <f>IFERROR(_xlfn.XLOOKUP(B49,会员档案!$A:$A,会员档案!$D:$D),"")</f>
        <v/>
      </c>
      <c r="G49" s="31">
        <f>IFERROR(_xlfn.XLOOKUP(B49,会员档案!$A:$A,会员档案!$E:$E),"")</f>
        <v/>
      </c>
      <c r="H49" s="31">
        <f>IFERROR(_xlfn.XLOOKUP(B49,会员档案!$A:$A,会员档案!$F:$F),"")</f>
        <v/>
      </c>
      <c r="I49" s="31">
        <f>IF(B49="","",IFERROR(VLOOKUP(B49,会员档案!$A:$Q,17,FALSE),""))</f>
        <v/>
      </c>
      <c r="J49" s="11">
        <f>IF(B49="","",IF(OR(H49="次卡",H49="期限卡"),"是","否"))</f>
        <v/>
      </c>
      <c r="K49" s="31">
        <f>IF(J49="是",1,0)</f>
        <v/>
      </c>
    </row>
    <row r="50">
      <c r="C50" s="31">
        <f>IFERROR(_xlfn.XLOOKUP(B50,会员档案!$A:$A,会员档案!$B:$B),"")</f>
        <v/>
      </c>
      <c r="F50" s="31">
        <f>IFERROR(_xlfn.XLOOKUP(B50,会员档案!$A:$A,会员档案!$D:$D),"")</f>
        <v/>
      </c>
      <c r="G50" s="31">
        <f>IFERROR(_xlfn.XLOOKUP(B50,会员档案!$A:$A,会员档案!$E:$E),"")</f>
        <v/>
      </c>
      <c r="H50" s="31">
        <f>IFERROR(_xlfn.XLOOKUP(B50,会员档案!$A:$A,会员档案!$F:$F),"")</f>
        <v/>
      </c>
      <c r="I50" s="31">
        <f>IF(B50="","",IFERROR(VLOOKUP(B50,会员档案!$A:$Q,17,FALSE),""))</f>
        <v/>
      </c>
      <c r="J50" s="11">
        <f>IF(B50="","",IF(OR(H50="次卡",H50="期限卡"),"是","否"))</f>
        <v/>
      </c>
      <c r="K50" s="31">
        <f>IF(J50="是",1,0)</f>
        <v/>
      </c>
    </row>
    <row r="51">
      <c r="C51" s="31">
        <f>IFERROR(_xlfn.XLOOKUP(B51,会员档案!$A:$A,会员档案!$B:$B),"")</f>
        <v/>
      </c>
      <c r="F51" s="31">
        <f>IFERROR(_xlfn.XLOOKUP(B51,会员档案!$A:$A,会员档案!$D:$D),"")</f>
        <v/>
      </c>
      <c r="G51" s="31">
        <f>IFERROR(_xlfn.XLOOKUP(B51,会员档案!$A:$A,会员档案!$E:$E),"")</f>
        <v/>
      </c>
      <c r="H51" s="31">
        <f>IFERROR(_xlfn.XLOOKUP(B51,会员档案!$A:$A,会员档案!$F:$F),"")</f>
        <v/>
      </c>
      <c r="I51" s="31">
        <f>IF(B51="","",IFERROR(VLOOKUP(B51,会员档案!$A:$Q,17,FALSE),""))</f>
        <v/>
      </c>
      <c r="J51" s="11">
        <f>IF(B51="","",IF(OR(H51="次卡",H51="期限卡"),"是","否"))</f>
        <v/>
      </c>
      <c r="K51" s="31">
        <f>IF(J51="是",1,0)</f>
        <v/>
      </c>
    </row>
    <row r="52">
      <c r="C52" s="31">
        <f>IFERROR(_xlfn.XLOOKUP(B52,会员档案!$A:$A,会员档案!$B:$B),"")</f>
        <v/>
      </c>
      <c r="F52" s="31">
        <f>IFERROR(_xlfn.XLOOKUP(B52,会员档案!$A:$A,会员档案!$D:$D),"")</f>
        <v/>
      </c>
      <c r="G52" s="31">
        <f>IFERROR(_xlfn.XLOOKUP(B52,会员档案!$A:$A,会员档案!$E:$E),"")</f>
        <v/>
      </c>
      <c r="H52" s="31">
        <f>IFERROR(_xlfn.XLOOKUP(B52,会员档案!$A:$A,会员档案!$F:$F),"")</f>
        <v/>
      </c>
      <c r="I52" s="31">
        <f>IF(B52="","",IFERROR(VLOOKUP(B52,会员档案!$A:$Q,17,FALSE),""))</f>
        <v/>
      </c>
      <c r="J52" s="11">
        <f>IF(B52="","",IF(OR(H52="次卡",H52="期限卡"),"是","否"))</f>
        <v/>
      </c>
      <c r="K52" s="31">
        <f>IF(J52="是",1,0)</f>
        <v/>
      </c>
    </row>
    <row r="53">
      <c r="C53" s="31">
        <f>IFERROR(_xlfn.XLOOKUP(B53,会员档案!$A:$A,会员档案!$B:$B),"")</f>
        <v/>
      </c>
      <c r="F53" s="31">
        <f>IFERROR(_xlfn.XLOOKUP(B53,会员档案!$A:$A,会员档案!$D:$D),"")</f>
        <v/>
      </c>
      <c r="G53" s="31">
        <f>IFERROR(_xlfn.XLOOKUP(B53,会员档案!$A:$A,会员档案!$E:$E),"")</f>
        <v/>
      </c>
      <c r="H53" s="31">
        <f>IFERROR(_xlfn.XLOOKUP(B53,会员档案!$A:$A,会员档案!$F:$F),"")</f>
        <v/>
      </c>
      <c r="I53" s="31">
        <f>IF(B53="","",IFERROR(VLOOKUP(B53,会员档案!$A:$Q,17,FALSE),""))</f>
        <v/>
      </c>
      <c r="J53" s="11">
        <f>IF(B53="","",IF(OR(H53="次卡",H53="期限卡"),"是","否"))</f>
        <v/>
      </c>
      <c r="K53" s="31">
        <f>IF(J53="是",1,0)</f>
        <v/>
      </c>
    </row>
    <row r="54">
      <c r="C54" s="31">
        <f>IFERROR(_xlfn.XLOOKUP(B54,会员档案!$A:$A,会员档案!$B:$B),"")</f>
        <v/>
      </c>
      <c r="F54" s="31">
        <f>IFERROR(_xlfn.XLOOKUP(B54,会员档案!$A:$A,会员档案!$D:$D),"")</f>
        <v/>
      </c>
      <c r="G54" s="31">
        <f>IFERROR(_xlfn.XLOOKUP(B54,会员档案!$A:$A,会员档案!$E:$E),"")</f>
        <v/>
      </c>
      <c r="H54" s="31">
        <f>IFERROR(_xlfn.XLOOKUP(B54,会员档案!$A:$A,会员档案!$F:$F),"")</f>
        <v/>
      </c>
      <c r="I54" s="31">
        <f>IF(B54="","",IFERROR(VLOOKUP(B54,会员档案!$A:$Q,17,FALSE),""))</f>
        <v/>
      </c>
      <c r="J54" s="11">
        <f>IF(B54="","",IF(OR(H54="次卡",H54="期限卡"),"是","否"))</f>
        <v/>
      </c>
      <c r="K54" s="31">
        <f>IF(J54="是",1,0)</f>
        <v/>
      </c>
    </row>
    <row r="55">
      <c r="C55" s="31">
        <f>IFERROR(_xlfn.XLOOKUP(B55,会员档案!$A:$A,会员档案!$B:$B),"")</f>
        <v/>
      </c>
      <c r="F55" s="31">
        <f>IFERROR(_xlfn.XLOOKUP(B55,会员档案!$A:$A,会员档案!$D:$D),"")</f>
        <v/>
      </c>
      <c r="G55" s="31">
        <f>IFERROR(_xlfn.XLOOKUP(B55,会员档案!$A:$A,会员档案!$E:$E),"")</f>
        <v/>
      </c>
      <c r="H55" s="31">
        <f>IFERROR(_xlfn.XLOOKUP(B55,会员档案!$A:$A,会员档案!$F:$F),"")</f>
        <v/>
      </c>
      <c r="I55" s="31">
        <f>IF(B55="","",IFERROR(VLOOKUP(B55,会员档案!$A:$Q,17,FALSE),""))</f>
        <v/>
      </c>
      <c r="J55" s="11">
        <f>IF(B55="","",IF(OR(H55="次卡",H55="期限卡"),"是","否"))</f>
        <v/>
      </c>
      <c r="K55" s="31">
        <f>IF(J55="是",1,0)</f>
        <v/>
      </c>
    </row>
    <row r="56">
      <c r="C56" s="31">
        <f>IFERROR(_xlfn.XLOOKUP(B56,会员档案!$A:$A,会员档案!$B:$B),"")</f>
        <v/>
      </c>
      <c r="F56" s="31">
        <f>IFERROR(_xlfn.XLOOKUP(B56,会员档案!$A:$A,会员档案!$D:$D),"")</f>
        <v/>
      </c>
      <c r="G56" s="31">
        <f>IFERROR(_xlfn.XLOOKUP(B56,会员档案!$A:$A,会员档案!$E:$E),"")</f>
        <v/>
      </c>
      <c r="H56" s="31">
        <f>IFERROR(_xlfn.XLOOKUP(B56,会员档案!$A:$A,会员档案!$F:$F),"")</f>
        <v/>
      </c>
      <c r="I56" s="31">
        <f>IF(B56="","",IFERROR(VLOOKUP(B56,会员档案!$A:$Q,17,FALSE),""))</f>
        <v/>
      </c>
      <c r="J56" s="11">
        <f>IF(B56="","",IF(OR(H56="次卡",H56="期限卡"),"是","否"))</f>
        <v/>
      </c>
      <c r="K56" s="31">
        <f>IF(J56="是",1,0)</f>
        <v/>
      </c>
    </row>
    <row r="57">
      <c r="C57" s="31">
        <f>IFERROR(_xlfn.XLOOKUP(B57,会员档案!$A:$A,会员档案!$B:$B),"")</f>
        <v/>
      </c>
      <c r="F57" s="31">
        <f>IFERROR(_xlfn.XLOOKUP(B57,会员档案!$A:$A,会员档案!$D:$D),"")</f>
        <v/>
      </c>
      <c r="G57" s="31">
        <f>IFERROR(_xlfn.XLOOKUP(B57,会员档案!$A:$A,会员档案!$E:$E),"")</f>
        <v/>
      </c>
      <c r="H57" s="31">
        <f>IFERROR(_xlfn.XLOOKUP(B57,会员档案!$A:$A,会员档案!$F:$F),"")</f>
        <v/>
      </c>
      <c r="I57" s="31">
        <f>IF(B57="","",IFERROR(VLOOKUP(B57,会员档案!$A:$Q,17,FALSE),""))</f>
        <v/>
      </c>
      <c r="J57" s="11">
        <f>IF(B57="","",IF(OR(H57="次卡",H57="期限卡"),"是","否"))</f>
        <v/>
      </c>
      <c r="K57" s="31">
        <f>IF(J57="是",1,0)</f>
        <v/>
      </c>
    </row>
    <row r="58">
      <c r="C58" s="31">
        <f>IFERROR(_xlfn.XLOOKUP(B58,会员档案!$A:$A,会员档案!$B:$B),"")</f>
        <v/>
      </c>
      <c r="F58" s="31">
        <f>IFERROR(_xlfn.XLOOKUP(B58,会员档案!$A:$A,会员档案!$D:$D),"")</f>
        <v/>
      </c>
      <c r="G58" s="31">
        <f>IFERROR(_xlfn.XLOOKUP(B58,会员档案!$A:$A,会员档案!$E:$E),"")</f>
        <v/>
      </c>
      <c r="H58" s="31">
        <f>IFERROR(_xlfn.XLOOKUP(B58,会员档案!$A:$A,会员档案!$F:$F),"")</f>
        <v/>
      </c>
      <c r="I58" s="31">
        <f>IF(B58="","",IFERROR(VLOOKUP(B58,会员档案!$A:$Q,17,FALSE),""))</f>
        <v/>
      </c>
      <c r="J58" s="11">
        <f>IF(B58="","",IF(OR(H58="次卡",H58="期限卡"),"是","否"))</f>
        <v/>
      </c>
      <c r="K58" s="31">
        <f>IF(J58="是",1,0)</f>
        <v/>
      </c>
    </row>
    <row r="59">
      <c r="C59" s="31">
        <f>IFERROR(_xlfn.XLOOKUP(B59,会员档案!$A:$A,会员档案!$B:$B),"")</f>
        <v/>
      </c>
      <c r="F59" s="31">
        <f>IFERROR(_xlfn.XLOOKUP(B59,会员档案!$A:$A,会员档案!$D:$D),"")</f>
        <v/>
      </c>
      <c r="G59" s="31">
        <f>IFERROR(_xlfn.XLOOKUP(B59,会员档案!$A:$A,会员档案!$E:$E),"")</f>
        <v/>
      </c>
      <c r="H59" s="31">
        <f>IFERROR(_xlfn.XLOOKUP(B59,会员档案!$A:$A,会员档案!$F:$F),"")</f>
        <v/>
      </c>
      <c r="I59" s="31">
        <f>IF(B59="","",IFERROR(VLOOKUP(B59,会员档案!$A:$Q,17,FALSE),""))</f>
        <v/>
      </c>
      <c r="J59" s="11">
        <f>IF(B59="","",IF(OR(H59="次卡",H59="期限卡"),"是","否"))</f>
        <v/>
      </c>
      <c r="K59" s="31">
        <f>IF(J59="是",1,0)</f>
        <v/>
      </c>
    </row>
    <row r="60">
      <c r="C60" s="31">
        <f>IFERROR(_xlfn.XLOOKUP(B60,会员档案!$A:$A,会员档案!$B:$B),"")</f>
        <v/>
      </c>
      <c r="F60" s="31">
        <f>IFERROR(_xlfn.XLOOKUP(B60,会员档案!$A:$A,会员档案!$D:$D),"")</f>
        <v/>
      </c>
      <c r="G60" s="31">
        <f>IFERROR(_xlfn.XLOOKUP(B60,会员档案!$A:$A,会员档案!$E:$E),"")</f>
        <v/>
      </c>
      <c r="H60" s="31">
        <f>IFERROR(_xlfn.XLOOKUP(B60,会员档案!$A:$A,会员档案!$F:$F),"")</f>
        <v/>
      </c>
      <c r="I60" s="31">
        <f>IF(B60="","",IFERROR(VLOOKUP(B60,会员档案!$A:$Q,17,FALSE),""))</f>
        <v/>
      </c>
      <c r="J60" s="11">
        <f>IF(B60="","",IF(OR(H60="次卡",H60="期限卡"),"是","否"))</f>
        <v/>
      </c>
      <c r="K60" s="31">
        <f>IF(J60="是",1,0)</f>
        <v/>
      </c>
    </row>
    <row r="61">
      <c r="C61" s="31">
        <f>IFERROR(_xlfn.XLOOKUP(B61,会员档案!$A:$A,会员档案!$B:$B),"")</f>
        <v/>
      </c>
      <c r="F61" s="31">
        <f>IFERROR(_xlfn.XLOOKUP(B61,会员档案!$A:$A,会员档案!$D:$D),"")</f>
        <v/>
      </c>
      <c r="G61" s="31">
        <f>IFERROR(_xlfn.XLOOKUP(B61,会员档案!$A:$A,会员档案!$E:$E),"")</f>
        <v/>
      </c>
      <c r="H61" s="31">
        <f>IFERROR(_xlfn.XLOOKUP(B61,会员档案!$A:$A,会员档案!$F:$F),"")</f>
        <v/>
      </c>
      <c r="I61" s="31">
        <f>IF(B61="","",IFERROR(VLOOKUP(B61,会员档案!$A:$Q,17,FALSE),""))</f>
        <v/>
      </c>
      <c r="J61" s="11">
        <f>IF(B61="","",IF(OR(H61="次卡",H61="期限卡"),"是","否"))</f>
        <v/>
      </c>
      <c r="K61" s="31">
        <f>IF(J61="是",1,0)</f>
        <v/>
      </c>
    </row>
    <row r="62">
      <c r="C62" s="31">
        <f>IFERROR(_xlfn.XLOOKUP(B62,会员档案!$A:$A,会员档案!$B:$B),"")</f>
        <v/>
      </c>
      <c r="F62" s="31">
        <f>IFERROR(_xlfn.XLOOKUP(B62,会员档案!$A:$A,会员档案!$D:$D),"")</f>
        <v/>
      </c>
      <c r="G62" s="31">
        <f>IFERROR(_xlfn.XLOOKUP(B62,会员档案!$A:$A,会员档案!$E:$E),"")</f>
        <v/>
      </c>
      <c r="H62" s="31">
        <f>IFERROR(_xlfn.XLOOKUP(B62,会员档案!$A:$A,会员档案!$F:$F),"")</f>
        <v/>
      </c>
      <c r="I62" s="31">
        <f>IF(B62="","",IFERROR(VLOOKUP(B62,会员档案!$A:$Q,17,FALSE),""))</f>
        <v/>
      </c>
      <c r="J62" s="11">
        <f>IF(B62="","",IF(OR(H62="次卡",H62="期限卡"),"是","否"))</f>
        <v/>
      </c>
      <c r="K62" s="31">
        <f>IF(J62="是",1,0)</f>
        <v/>
      </c>
    </row>
    <row r="63">
      <c r="C63" s="31">
        <f>IFERROR(_xlfn.XLOOKUP(B63,会员档案!$A:$A,会员档案!$B:$B),"")</f>
        <v/>
      </c>
      <c r="F63" s="31">
        <f>IFERROR(_xlfn.XLOOKUP(B63,会员档案!$A:$A,会员档案!$D:$D),"")</f>
        <v/>
      </c>
      <c r="G63" s="31">
        <f>IFERROR(_xlfn.XLOOKUP(B63,会员档案!$A:$A,会员档案!$E:$E),"")</f>
        <v/>
      </c>
      <c r="H63" s="31">
        <f>IFERROR(_xlfn.XLOOKUP(B63,会员档案!$A:$A,会员档案!$F:$F),"")</f>
        <v/>
      </c>
      <c r="I63" s="31">
        <f>IF(B63="","",IFERROR(VLOOKUP(B63,会员档案!$A:$Q,17,FALSE),""))</f>
        <v/>
      </c>
      <c r="J63" s="11">
        <f>IF(B63="","",IF(OR(H63="次卡",H63="期限卡"),"是","否"))</f>
        <v/>
      </c>
      <c r="K63" s="31">
        <f>IF(J63="是",1,0)</f>
        <v/>
      </c>
    </row>
    <row r="64">
      <c r="C64" s="31">
        <f>IFERROR(_xlfn.XLOOKUP(B64,会员档案!$A:$A,会员档案!$B:$B),"")</f>
        <v/>
      </c>
      <c r="F64" s="31">
        <f>IFERROR(_xlfn.XLOOKUP(B64,会员档案!$A:$A,会员档案!$D:$D),"")</f>
        <v/>
      </c>
      <c r="G64" s="31">
        <f>IFERROR(_xlfn.XLOOKUP(B64,会员档案!$A:$A,会员档案!$E:$E),"")</f>
        <v/>
      </c>
      <c r="H64" s="31">
        <f>IFERROR(_xlfn.XLOOKUP(B64,会员档案!$A:$A,会员档案!$F:$F),"")</f>
        <v/>
      </c>
      <c r="I64" s="31">
        <f>IF(B64="","",IFERROR(VLOOKUP(B64,会员档案!$A:$Q,17,FALSE),""))</f>
        <v/>
      </c>
      <c r="J64" s="11">
        <f>IF(B64="","",IF(OR(H64="次卡",H64="期限卡"),"是","否"))</f>
        <v/>
      </c>
      <c r="K64" s="31">
        <f>IF(J64="是",1,0)</f>
        <v/>
      </c>
    </row>
    <row r="65">
      <c r="C65" s="31">
        <f>IFERROR(_xlfn.XLOOKUP(B65,会员档案!$A:$A,会员档案!$B:$B),"")</f>
        <v/>
      </c>
      <c r="F65" s="31">
        <f>IFERROR(_xlfn.XLOOKUP(B65,会员档案!$A:$A,会员档案!$D:$D),"")</f>
        <v/>
      </c>
      <c r="G65" s="31">
        <f>IFERROR(_xlfn.XLOOKUP(B65,会员档案!$A:$A,会员档案!$E:$E),"")</f>
        <v/>
      </c>
      <c r="H65" s="31">
        <f>IFERROR(_xlfn.XLOOKUP(B65,会员档案!$A:$A,会员档案!$F:$F),"")</f>
        <v/>
      </c>
      <c r="I65" s="31">
        <f>IF(B65="","",IFERROR(VLOOKUP(B65,会员档案!$A:$Q,17,FALSE),""))</f>
        <v/>
      </c>
      <c r="J65" s="11">
        <f>IF(B65="","",IF(OR(H65="次卡",H65="期限卡"),"是","否"))</f>
        <v/>
      </c>
      <c r="K65" s="31">
        <f>IF(J65="是",1,0)</f>
        <v/>
      </c>
    </row>
    <row r="66">
      <c r="C66" s="31">
        <f>IFERROR(_xlfn.XLOOKUP(B66,会员档案!$A:$A,会员档案!$B:$B),"")</f>
        <v/>
      </c>
      <c r="F66" s="31">
        <f>IFERROR(_xlfn.XLOOKUP(B66,会员档案!$A:$A,会员档案!$D:$D),"")</f>
        <v/>
      </c>
      <c r="G66" s="31">
        <f>IFERROR(_xlfn.XLOOKUP(B66,会员档案!$A:$A,会员档案!$E:$E),"")</f>
        <v/>
      </c>
      <c r="H66" s="31">
        <f>IFERROR(_xlfn.XLOOKUP(B66,会员档案!$A:$A,会员档案!$F:$F),"")</f>
        <v/>
      </c>
      <c r="I66" s="31">
        <f>IF(B66="","",IFERROR(VLOOKUP(B66,会员档案!$A:$Q,17,FALSE),""))</f>
        <v/>
      </c>
      <c r="J66" s="11">
        <f>IF(B66="","",IF(OR(H66="次卡",H66="期限卡"),"是","否"))</f>
        <v/>
      </c>
      <c r="K66" s="31">
        <f>IF(J66="是",1,0)</f>
        <v/>
      </c>
    </row>
    <row r="67">
      <c r="C67" s="31">
        <f>IFERROR(_xlfn.XLOOKUP(B67,会员档案!$A:$A,会员档案!$B:$B),"")</f>
        <v/>
      </c>
      <c r="F67" s="31">
        <f>IFERROR(_xlfn.XLOOKUP(B67,会员档案!$A:$A,会员档案!$D:$D),"")</f>
        <v/>
      </c>
      <c r="G67" s="31">
        <f>IFERROR(_xlfn.XLOOKUP(B67,会员档案!$A:$A,会员档案!$E:$E),"")</f>
        <v/>
      </c>
      <c r="H67" s="31">
        <f>IFERROR(_xlfn.XLOOKUP(B67,会员档案!$A:$A,会员档案!$F:$F),"")</f>
        <v/>
      </c>
      <c r="I67" s="31">
        <f>IF(B67="","",IFERROR(VLOOKUP(B67,会员档案!$A:$Q,17,FALSE),""))</f>
        <v/>
      </c>
      <c r="J67" s="11">
        <f>IF(B67="","",IF(OR(H67="次卡",H67="期限卡"),"是","否"))</f>
        <v/>
      </c>
      <c r="K67" s="31">
        <f>IF(J67="是",1,0)</f>
        <v/>
      </c>
    </row>
    <row r="68">
      <c r="C68" s="31">
        <f>IFERROR(_xlfn.XLOOKUP(B68,会员档案!$A:$A,会员档案!$B:$B),"")</f>
        <v/>
      </c>
      <c r="F68" s="31">
        <f>IFERROR(_xlfn.XLOOKUP(B68,会员档案!$A:$A,会员档案!$D:$D),"")</f>
        <v/>
      </c>
      <c r="G68" s="31">
        <f>IFERROR(_xlfn.XLOOKUP(B68,会员档案!$A:$A,会员档案!$E:$E),"")</f>
        <v/>
      </c>
      <c r="H68" s="31">
        <f>IFERROR(_xlfn.XLOOKUP(B68,会员档案!$A:$A,会员档案!$F:$F),"")</f>
        <v/>
      </c>
      <c r="I68" s="31">
        <f>IF(B68="","",IFERROR(VLOOKUP(B68,会员档案!$A:$Q,17,FALSE),""))</f>
        <v/>
      </c>
      <c r="J68" s="11">
        <f>IF(B68="","",IF(OR(H68="次卡",H68="期限卡"),"是","否"))</f>
        <v/>
      </c>
      <c r="K68" s="31">
        <f>IF(J68="是",1,0)</f>
        <v/>
      </c>
    </row>
    <row r="69">
      <c r="C69" s="31">
        <f>IFERROR(_xlfn.XLOOKUP(B69,会员档案!$A:$A,会员档案!$B:$B),"")</f>
        <v/>
      </c>
      <c r="F69" s="31">
        <f>IFERROR(_xlfn.XLOOKUP(B69,会员档案!$A:$A,会员档案!$D:$D),"")</f>
        <v/>
      </c>
      <c r="G69" s="31">
        <f>IFERROR(_xlfn.XLOOKUP(B69,会员档案!$A:$A,会员档案!$E:$E),"")</f>
        <v/>
      </c>
      <c r="H69" s="31">
        <f>IFERROR(_xlfn.XLOOKUP(B69,会员档案!$A:$A,会员档案!$F:$F),"")</f>
        <v/>
      </c>
      <c r="I69" s="31">
        <f>IF(B69="","",IFERROR(VLOOKUP(B69,会员档案!$A:$Q,17,FALSE),""))</f>
        <v/>
      </c>
      <c r="J69" s="11">
        <f>IF(B69="","",IF(OR(H69="次卡",H69="期限卡"),"是","否"))</f>
        <v/>
      </c>
      <c r="K69" s="31">
        <f>IF(J69="是",1,0)</f>
        <v/>
      </c>
    </row>
    <row r="70">
      <c r="C70" s="31">
        <f>IFERROR(_xlfn.XLOOKUP(B70,会员档案!$A:$A,会员档案!$B:$B),"")</f>
        <v/>
      </c>
      <c r="F70" s="31">
        <f>IFERROR(_xlfn.XLOOKUP(B70,会员档案!$A:$A,会员档案!$D:$D),"")</f>
        <v/>
      </c>
      <c r="G70" s="31">
        <f>IFERROR(_xlfn.XLOOKUP(B70,会员档案!$A:$A,会员档案!$E:$E),"")</f>
        <v/>
      </c>
      <c r="H70" s="31">
        <f>IFERROR(_xlfn.XLOOKUP(B70,会员档案!$A:$A,会员档案!$F:$F),"")</f>
        <v/>
      </c>
      <c r="I70" s="31">
        <f>IF(B70="","",IFERROR(VLOOKUP(B70,会员档案!$A:$Q,17,FALSE),""))</f>
        <v/>
      </c>
      <c r="J70" s="11">
        <f>IF(B70="","",IF(OR(H70="次卡",H70="期限卡"),"是","否"))</f>
        <v/>
      </c>
      <c r="K70" s="31">
        <f>IF(J70="是",1,0)</f>
        <v/>
      </c>
    </row>
    <row r="71">
      <c r="C71" s="31">
        <f>IFERROR(_xlfn.XLOOKUP(B71,会员档案!$A:$A,会员档案!$B:$B),"")</f>
        <v/>
      </c>
      <c r="F71" s="31">
        <f>IFERROR(_xlfn.XLOOKUP(B71,会员档案!$A:$A,会员档案!$D:$D),"")</f>
        <v/>
      </c>
      <c r="G71" s="31">
        <f>IFERROR(_xlfn.XLOOKUP(B71,会员档案!$A:$A,会员档案!$E:$E),"")</f>
        <v/>
      </c>
      <c r="H71" s="31">
        <f>IFERROR(_xlfn.XLOOKUP(B71,会员档案!$A:$A,会员档案!$F:$F),"")</f>
        <v/>
      </c>
      <c r="I71" s="31">
        <f>IF(B71="","",IFERROR(VLOOKUP(B71,会员档案!$A:$Q,17,FALSE),""))</f>
        <v/>
      </c>
      <c r="J71" s="11">
        <f>IF(B71="","",IF(OR(H71="次卡",H71="期限卡"),"是","否"))</f>
        <v/>
      </c>
      <c r="K71" s="31">
        <f>IF(J71="是",1,0)</f>
        <v/>
      </c>
    </row>
    <row r="72">
      <c r="C72" s="31">
        <f>IFERROR(_xlfn.XLOOKUP(B72,会员档案!$A:$A,会员档案!$B:$B),"")</f>
        <v/>
      </c>
      <c r="F72" s="31">
        <f>IFERROR(_xlfn.XLOOKUP(B72,会员档案!$A:$A,会员档案!$D:$D),"")</f>
        <v/>
      </c>
      <c r="G72" s="31">
        <f>IFERROR(_xlfn.XLOOKUP(B72,会员档案!$A:$A,会员档案!$E:$E),"")</f>
        <v/>
      </c>
      <c r="H72" s="31">
        <f>IFERROR(_xlfn.XLOOKUP(B72,会员档案!$A:$A,会员档案!$F:$F),"")</f>
        <v/>
      </c>
      <c r="I72" s="31">
        <f>IF(B72="","",IFERROR(VLOOKUP(B72,会员档案!$A:$Q,17,FALSE),""))</f>
        <v/>
      </c>
      <c r="J72" s="11">
        <f>IF(B72="","",IF(OR(H72="次卡",H72="期限卡"),"是","否"))</f>
        <v/>
      </c>
      <c r="K72" s="31">
        <f>IF(J72="是",1,0)</f>
        <v/>
      </c>
    </row>
    <row r="73">
      <c r="C73" s="31">
        <f>IFERROR(_xlfn.XLOOKUP(B73,会员档案!$A:$A,会员档案!$B:$B),"")</f>
        <v/>
      </c>
      <c r="F73" s="31">
        <f>IFERROR(_xlfn.XLOOKUP(B73,会员档案!$A:$A,会员档案!$D:$D),"")</f>
        <v/>
      </c>
      <c r="G73" s="31">
        <f>IFERROR(_xlfn.XLOOKUP(B73,会员档案!$A:$A,会员档案!$E:$E),"")</f>
        <v/>
      </c>
      <c r="H73" s="31">
        <f>IFERROR(_xlfn.XLOOKUP(B73,会员档案!$A:$A,会员档案!$F:$F),"")</f>
        <v/>
      </c>
      <c r="I73" s="31">
        <f>IF(B73="","",IFERROR(VLOOKUP(B73,会员档案!$A:$Q,17,FALSE),""))</f>
        <v/>
      </c>
      <c r="J73" s="11">
        <f>IF(B73="","",IF(OR(H73="次卡",H73="期限卡"),"是","否"))</f>
        <v/>
      </c>
      <c r="K73" s="31">
        <f>IF(J73="是",1,0)</f>
        <v/>
      </c>
    </row>
    <row r="74">
      <c r="C74" s="31">
        <f>IFERROR(_xlfn.XLOOKUP(B74,会员档案!$A:$A,会员档案!$B:$B),"")</f>
        <v/>
      </c>
      <c r="F74" s="31">
        <f>IFERROR(_xlfn.XLOOKUP(B74,会员档案!$A:$A,会员档案!$D:$D),"")</f>
        <v/>
      </c>
      <c r="G74" s="31">
        <f>IFERROR(_xlfn.XLOOKUP(B74,会员档案!$A:$A,会员档案!$E:$E),"")</f>
        <v/>
      </c>
      <c r="H74" s="31">
        <f>IFERROR(_xlfn.XLOOKUP(B74,会员档案!$A:$A,会员档案!$F:$F),"")</f>
        <v/>
      </c>
      <c r="I74" s="31">
        <f>IF(B74="","",IFERROR(VLOOKUP(B74,会员档案!$A:$Q,17,FALSE),""))</f>
        <v/>
      </c>
      <c r="J74" s="11">
        <f>IF(B74="","",IF(OR(H74="次卡",H74="期限卡"),"是","否"))</f>
        <v/>
      </c>
      <c r="K74" s="31">
        <f>IF(J74="是",1,0)</f>
        <v/>
      </c>
    </row>
    <row r="75">
      <c r="C75" s="31">
        <f>IFERROR(_xlfn.XLOOKUP(B75,会员档案!$A:$A,会员档案!$B:$B),"")</f>
        <v/>
      </c>
      <c r="F75" s="31">
        <f>IFERROR(_xlfn.XLOOKUP(B75,会员档案!$A:$A,会员档案!$D:$D),"")</f>
        <v/>
      </c>
      <c r="G75" s="31">
        <f>IFERROR(_xlfn.XLOOKUP(B75,会员档案!$A:$A,会员档案!$E:$E),"")</f>
        <v/>
      </c>
      <c r="H75" s="31">
        <f>IFERROR(_xlfn.XLOOKUP(B75,会员档案!$A:$A,会员档案!$F:$F),"")</f>
        <v/>
      </c>
      <c r="I75" s="31">
        <f>IF(B75="","",IFERROR(VLOOKUP(B75,会员档案!$A:$Q,17,FALSE),""))</f>
        <v/>
      </c>
      <c r="J75" s="11">
        <f>IF(B75="","",IF(OR(H75="次卡",H75="期限卡"),"是","否"))</f>
        <v/>
      </c>
      <c r="K75" s="31">
        <f>IF(J75="是",1,0)</f>
        <v/>
      </c>
    </row>
    <row r="76">
      <c r="C76" s="31">
        <f>IFERROR(_xlfn.XLOOKUP(B76,会员档案!$A:$A,会员档案!$B:$B),"")</f>
        <v/>
      </c>
      <c r="F76" s="31">
        <f>IFERROR(_xlfn.XLOOKUP(B76,会员档案!$A:$A,会员档案!$D:$D),"")</f>
        <v/>
      </c>
      <c r="G76" s="31">
        <f>IFERROR(_xlfn.XLOOKUP(B76,会员档案!$A:$A,会员档案!$E:$E),"")</f>
        <v/>
      </c>
      <c r="H76" s="31">
        <f>IFERROR(_xlfn.XLOOKUP(B76,会员档案!$A:$A,会员档案!$F:$F),"")</f>
        <v/>
      </c>
      <c r="I76" s="31">
        <f>IF(B76="","",IFERROR(VLOOKUP(B76,会员档案!$A:$Q,17,FALSE),""))</f>
        <v/>
      </c>
      <c r="J76" s="11">
        <f>IF(B76="","",IF(OR(H76="次卡",H76="期限卡"),"是","否"))</f>
        <v/>
      </c>
      <c r="K76" s="31">
        <f>IF(J76="是",1,0)</f>
        <v/>
      </c>
    </row>
    <row r="77">
      <c r="C77" s="31">
        <f>IFERROR(_xlfn.XLOOKUP(B77,会员档案!$A:$A,会员档案!$B:$B),"")</f>
        <v/>
      </c>
      <c r="F77" s="31">
        <f>IFERROR(_xlfn.XLOOKUP(B77,会员档案!$A:$A,会员档案!$D:$D),"")</f>
        <v/>
      </c>
      <c r="G77" s="31">
        <f>IFERROR(_xlfn.XLOOKUP(B77,会员档案!$A:$A,会员档案!$E:$E),"")</f>
        <v/>
      </c>
      <c r="H77" s="31">
        <f>IFERROR(_xlfn.XLOOKUP(B77,会员档案!$A:$A,会员档案!$F:$F),"")</f>
        <v/>
      </c>
      <c r="I77" s="31">
        <f>IF(B77="","",IFERROR(VLOOKUP(B77,会员档案!$A:$Q,17,FALSE),""))</f>
        <v/>
      </c>
      <c r="J77" s="11">
        <f>IF(B77="","",IF(OR(H77="次卡",H77="期限卡"),"是","否"))</f>
        <v/>
      </c>
      <c r="K77" s="31">
        <f>IF(J77="是",1,0)</f>
        <v/>
      </c>
    </row>
    <row r="78">
      <c r="C78" s="31">
        <f>IFERROR(_xlfn.XLOOKUP(B78,会员档案!$A:$A,会员档案!$B:$B),"")</f>
        <v/>
      </c>
      <c r="F78" s="31">
        <f>IFERROR(_xlfn.XLOOKUP(B78,会员档案!$A:$A,会员档案!$D:$D),"")</f>
        <v/>
      </c>
      <c r="G78" s="31">
        <f>IFERROR(_xlfn.XLOOKUP(B78,会员档案!$A:$A,会员档案!$E:$E),"")</f>
        <v/>
      </c>
      <c r="H78" s="31">
        <f>IFERROR(_xlfn.XLOOKUP(B78,会员档案!$A:$A,会员档案!$F:$F),"")</f>
        <v/>
      </c>
      <c r="I78" s="31">
        <f>IF(B78="","",IFERROR(VLOOKUP(B78,会员档案!$A:$Q,17,FALSE),""))</f>
        <v/>
      </c>
      <c r="J78" s="11">
        <f>IF(B78="","",IF(OR(H78="次卡",H78="期限卡"),"是","否"))</f>
        <v/>
      </c>
      <c r="K78" s="31">
        <f>IF(J78="是",1,0)</f>
        <v/>
      </c>
    </row>
    <row r="79">
      <c r="C79" s="31">
        <f>IFERROR(_xlfn.XLOOKUP(B79,会员档案!$A:$A,会员档案!$B:$B),"")</f>
        <v/>
      </c>
      <c r="F79" s="31">
        <f>IFERROR(_xlfn.XLOOKUP(B79,会员档案!$A:$A,会员档案!$D:$D),"")</f>
        <v/>
      </c>
      <c r="G79" s="31">
        <f>IFERROR(_xlfn.XLOOKUP(B79,会员档案!$A:$A,会员档案!$E:$E),"")</f>
        <v/>
      </c>
      <c r="H79" s="31">
        <f>IFERROR(_xlfn.XLOOKUP(B79,会员档案!$A:$A,会员档案!$F:$F),"")</f>
        <v/>
      </c>
      <c r="I79" s="31">
        <f>IF(B79="","",IFERROR(VLOOKUP(B79,会员档案!$A:$Q,17,FALSE),""))</f>
        <v/>
      </c>
      <c r="J79" s="11">
        <f>IF(B79="","",IF(OR(H79="次卡",H79="期限卡"),"是","否"))</f>
        <v/>
      </c>
      <c r="K79" s="31">
        <f>IF(J79="是",1,0)</f>
        <v/>
      </c>
    </row>
    <row r="80">
      <c r="C80" s="31">
        <f>IFERROR(_xlfn.XLOOKUP(B80,会员档案!$A:$A,会员档案!$B:$B),"")</f>
        <v/>
      </c>
      <c r="F80" s="31">
        <f>IFERROR(_xlfn.XLOOKUP(B80,会员档案!$A:$A,会员档案!$D:$D),"")</f>
        <v/>
      </c>
      <c r="G80" s="31">
        <f>IFERROR(_xlfn.XLOOKUP(B80,会员档案!$A:$A,会员档案!$E:$E),"")</f>
        <v/>
      </c>
      <c r="H80" s="31">
        <f>IFERROR(_xlfn.XLOOKUP(B80,会员档案!$A:$A,会员档案!$F:$F),"")</f>
        <v/>
      </c>
      <c r="I80" s="31">
        <f>IF(B80="","",IFERROR(VLOOKUP(B80,会员档案!$A:$Q,17,FALSE),""))</f>
        <v/>
      </c>
      <c r="J80" s="11">
        <f>IF(B80="","",IF(OR(H80="次卡",H80="期限卡"),"是","否"))</f>
        <v/>
      </c>
      <c r="K80" s="31">
        <f>IF(J80="是",1,0)</f>
        <v/>
      </c>
    </row>
    <row r="81">
      <c r="C81" s="31">
        <f>IFERROR(_xlfn.XLOOKUP(B81,会员档案!$A:$A,会员档案!$B:$B),"")</f>
        <v/>
      </c>
      <c r="F81" s="31">
        <f>IFERROR(_xlfn.XLOOKUP(B81,会员档案!$A:$A,会员档案!$D:$D),"")</f>
        <v/>
      </c>
      <c r="G81" s="31">
        <f>IFERROR(_xlfn.XLOOKUP(B81,会员档案!$A:$A,会员档案!$E:$E),"")</f>
        <v/>
      </c>
      <c r="H81" s="31">
        <f>IFERROR(_xlfn.XLOOKUP(B81,会员档案!$A:$A,会员档案!$F:$F),"")</f>
        <v/>
      </c>
      <c r="I81" s="31">
        <f>IF(B81="","",IFERROR(VLOOKUP(B81,会员档案!$A:$Q,17,FALSE),""))</f>
        <v/>
      </c>
      <c r="J81" s="11">
        <f>IF(B81="","",IF(OR(H81="次卡",H81="期限卡"),"是","否"))</f>
        <v/>
      </c>
      <c r="K81" s="31">
        <f>IF(J81="是",1,0)</f>
        <v/>
      </c>
    </row>
    <row r="82">
      <c r="C82" s="31">
        <f>IFERROR(_xlfn.XLOOKUP(B82,会员档案!$A:$A,会员档案!$B:$B),"")</f>
        <v/>
      </c>
      <c r="F82" s="31">
        <f>IFERROR(_xlfn.XLOOKUP(B82,会员档案!$A:$A,会员档案!$D:$D),"")</f>
        <v/>
      </c>
      <c r="G82" s="31">
        <f>IFERROR(_xlfn.XLOOKUP(B82,会员档案!$A:$A,会员档案!$E:$E),"")</f>
        <v/>
      </c>
      <c r="H82" s="31">
        <f>IFERROR(_xlfn.XLOOKUP(B82,会员档案!$A:$A,会员档案!$F:$F),"")</f>
        <v/>
      </c>
      <c r="I82" s="31">
        <f>IF(B82="","",IFERROR(VLOOKUP(B82,会员档案!$A:$Q,17,FALSE),""))</f>
        <v/>
      </c>
      <c r="J82" s="11">
        <f>IF(B82="","",IF(OR(H82="次卡",H82="期限卡"),"是","否"))</f>
        <v/>
      </c>
      <c r="K82" s="31">
        <f>IF(J82="是",1,0)</f>
        <v/>
      </c>
    </row>
    <row r="83">
      <c r="C83" s="31">
        <f>IFERROR(_xlfn.XLOOKUP(B83,会员档案!$A:$A,会员档案!$B:$B),"")</f>
        <v/>
      </c>
      <c r="F83" s="31">
        <f>IFERROR(_xlfn.XLOOKUP(B83,会员档案!$A:$A,会员档案!$D:$D),"")</f>
        <v/>
      </c>
      <c r="G83" s="31">
        <f>IFERROR(_xlfn.XLOOKUP(B83,会员档案!$A:$A,会员档案!$E:$E),"")</f>
        <v/>
      </c>
      <c r="H83" s="31">
        <f>IFERROR(_xlfn.XLOOKUP(B83,会员档案!$A:$A,会员档案!$F:$F),"")</f>
        <v/>
      </c>
      <c r="I83" s="31">
        <f>IF(B83="","",IFERROR(VLOOKUP(B83,会员档案!$A:$Q,17,FALSE),""))</f>
        <v/>
      </c>
      <c r="J83" s="11">
        <f>IF(B83="","",IF(OR(H83="次卡",H83="期限卡"),"是","否"))</f>
        <v/>
      </c>
      <c r="K83" s="31">
        <f>IF(J83="是",1,0)</f>
        <v/>
      </c>
    </row>
    <row r="84">
      <c r="C84" s="31">
        <f>IFERROR(_xlfn.XLOOKUP(B84,会员档案!$A:$A,会员档案!$B:$B),"")</f>
        <v/>
      </c>
      <c r="F84" s="31">
        <f>IFERROR(_xlfn.XLOOKUP(B84,会员档案!$A:$A,会员档案!$D:$D),"")</f>
        <v/>
      </c>
      <c r="G84" s="31">
        <f>IFERROR(_xlfn.XLOOKUP(B84,会员档案!$A:$A,会员档案!$E:$E),"")</f>
        <v/>
      </c>
      <c r="H84" s="31">
        <f>IFERROR(_xlfn.XLOOKUP(B84,会员档案!$A:$A,会员档案!$F:$F),"")</f>
        <v/>
      </c>
      <c r="I84" s="31">
        <f>IF(B84="","",IFERROR(VLOOKUP(B84,会员档案!$A:$Q,17,FALSE),""))</f>
        <v/>
      </c>
      <c r="J84" s="11">
        <f>IF(B84="","",IF(OR(H84="次卡",H84="期限卡"),"是","否"))</f>
        <v/>
      </c>
      <c r="K84" s="31">
        <f>IF(J84="是",1,0)</f>
        <v/>
      </c>
    </row>
    <row r="85">
      <c r="C85" s="31">
        <f>IFERROR(_xlfn.XLOOKUP(B85,会员档案!$A:$A,会员档案!$B:$B),"")</f>
        <v/>
      </c>
      <c r="F85" s="31">
        <f>IFERROR(_xlfn.XLOOKUP(B85,会员档案!$A:$A,会员档案!$D:$D),"")</f>
        <v/>
      </c>
      <c r="G85" s="31">
        <f>IFERROR(_xlfn.XLOOKUP(B85,会员档案!$A:$A,会员档案!$E:$E),"")</f>
        <v/>
      </c>
      <c r="H85" s="31">
        <f>IFERROR(_xlfn.XLOOKUP(B85,会员档案!$A:$A,会员档案!$F:$F),"")</f>
        <v/>
      </c>
      <c r="I85" s="31">
        <f>IF(B85="","",IFERROR(VLOOKUP(B85,会员档案!$A:$Q,17,FALSE),""))</f>
        <v/>
      </c>
      <c r="J85" s="11">
        <f>IF(B85="","",IF(OR(H85="次卡",H85="期限卡"),"是","否"))</f>
        <v/>
      </c>
      <c r="K85" s="31">
        <f>IF(J85="是",1,0)</f>
        <v/>
      </c>
    </row>
    <row r="86">
      <c r="C86" s="31">
        <f>IFERROR(_xlfn.XLOOKUP(B86,会员档案!$A:$A,会员档案!$B:$B),"")</f>
        <v/>
      </c>
      <c r="F86" s="31">
        <f>IFERROR(_xlfn.XLOOKUP(B86,会员档案!$A:$A,会员档案!$D:$D),"")</f>
        <v/>
      </c>
      <c r="G86" s="31">
        <f>IFERROR(_xlfn.XLOOKUP(B86,会员档案!$A:$A,会员档案!$E:$E),"")</f>
        <v/>
      </c>
      <c r="H86" s="31">
        <f>IFERROR(_xlfn.XLOOKUP(B86,会员档案!$A:$A,会员档案!$F:$F),"")</f>
        <v/>
      </c>
      <c r="I86" s="31">
        <f>IF(B86="","",IFERROR(VLOOKUP(B86,会员档案!$A:$Q,17,FALSE),""))</f>
        <v/>
      </c>
      <c r="J86" s="11">
        <f>IF(B86="","",IF(OR(H86="次卡",H86="期限卡"),"是","否"))</f>
        <v/>
      </c>
      <c r="K86" s="31">
        <f>IF(J86="是",1,0)</f>
        <v/>
      </c>
    </row>
    <row r="87">
      <c r="C87" s="31">
        <f>IFERROR(_xlfn.XLOOKUP(B87,会员档案!$A:$A,会员档案!$B:$B),"")</f>
        <v/>
      </c>
      <c r="F87" s="31">
        <f>IFERROR(_xlfn.XLOOKUP(B87,会员档案!$A:$A,会员档案!$D:$D),"")</f>
        <v/>
      </c>
      <c r="G87" s="31">
        <f>IFERROR(_xlfn.XLOOKUP(B87,会员档案!$A:$A,会员档案!$E:$E),"")</f>
        <v/>
      </c>
      <c r="H87" s="31">
        <f>IFERROR(_xlfn.XLOOKUP(B87,会员档案!$A:$A,会员档案!$F:$F),"")</f>
        <v/>
      </c>
      <c r="I87" s="31">
        <f>IF(B87="","",IFERROR(VLOOKUP(B87,会员档案!$A:$Q,17,FALSE),""))</f>
        <v/>
      </c>
      <c r="J87" s="11">
        <f>IF(B87="","",IF(OR(H87="次卡",H87="期限卡"),"是","否"))</f>
        <v/>
      </c>
      <c r="K87" s="31">
        <f>IF(J87="是",1,0)</f>
        <v/>
      </c>
    </row>
    <row r="88">
      <c r="C88" s="31">
        <f>IFERROR(_xlfn.XLOOKUP(B88,会员档案!$A:$A,会员档案!$B:$B),"")</f>
        <v/>
      </c>
      <c r="F88" s="31">
        <f>IFERROR(_xlfn.XLOOKUP(B88,会员档案!$A:$A,会员档案!$D:$D),"")</f>
        <v/>
      </c>
      <c r="G88" s="31">
        <f>IFERROR(_xlfn.XLOOKUP(B88,会员档案!$A:$A,会员档案!$E:$E),"")</f>
        <v/>
      </c>
      <c r="H88" s="31">
        <f>IFERROR(_xlfn.XLOOKUP(B88,会员档案!$A:$A,会员档案!$F:$F),"")</f>
        <v/>
      </c>
      <c r="I88" s="31">
        <f>IF(B88="","",IFERROR(VLOOKUP(B88,会员档案!$A:$Q,17,FALSE),""))</f>
        <v/>
      </c>
      <c r="J88" s="11">
        <f>IF(B88="","",IF(OR(H88="次卡",H88="期限卡"),"是","否"))</f>
        <v/>
      </c>
      <c r="K88" s="31">
        <f>IF(J88="是",1,0)</f>
        <v/>
      </c>
    </row>
    <row r="89">
      <c r="C89" s="31">
        <f>IFERROR(_xlfn.XLOOKUP(B89,会员档案!$A:$A,会员档案!$B:$B),"")</f>
        <v/>
      </c>
      <c r="F89" s="31">
        <f>IFERROR(_xlfn.XLOOKUP(B89,会员档案!$A:$A,会员档案!$D:$D),"")</f>
        <v/>
      </c>
      <c r="G89" s="31">
        <f>IFERROR(_xlfn.XLOOKUP(B89,会员档案!$A:$A,会员档案!$E:$E),"")</f>
        <v/>
      </c>
      <c r="H89" s="31">
        <f>IFERROR(_xlfn.XLOOKUP(B89,会员档案!$A:$A,会员档案!$F:$F),"")</f>
        <v/>
      </c>
      <c r="I89" s="31">
        <f>IF(B89="","",IFERROR(VLOOKUP(B89,会员档案!$A:$Q,17,FALSE),""))</f>
        <v/>
      </c>
      <c r="J89" s="11">
        <f>IF(B89="","",IF(OR(H89="次卡",H89="期限卡"),"是","否"))</f>
        <v/>
      </c>
      <c r="K89" s="31">
        <f>IF(J89="是",1,0)</f>
        <v/>
      </c>
    </row>
    <row r="90">
      <c r="C90" s="31">
        <f>IFERROR(_xlfn.XLOOKUP(B90,会员档案!$A:$A,会员档案!$B:$B),"")</f>
        <v/>
      </c>
      <c r="F90" s="31">
        <f>IFERROR(_xlfn.XLOOKUP(B90,会员档案!$A:$A,会员档案!$D:$D),"")</f>
        <v/>
      </c>
      <c r="G90" s="31">
        <f>IFERROR(_xlfn.XLOOKUP(B90,会员档案!$A:$A,会员档案!$E:$E),"")</f>
        <v/>
      </c>
      <c r="H90" s="31">
        <f>IFERROR(_xlfn.XLOOKUP(B90,会员档案!$A:$A,会员档案!$F:$F),"")</f>
        <v/>
      </c>
      <c r="I90" s="31">
        <f>IF(B90="","",IFERROR(VLOOKUP(B90,会员档案!$A:$Q,17,FALSE),""))</f>
        <v/>
      </c>
      <c r="J90" s="11">
        <f>IF(B90="","",IF(OR(H90="次卡",H90="期限卡"),"是","否"))</f>
        <v/>
      </c>
      <c r="K90" s="31">
        <f>IF(J90="是",1,0)</f>
        <v/>
      </c>
    </row>
    <row r="91">
      <c r="C91" s="31">
        <f>IFERROR(_xlfn.XLOOKUP(B91,会员档案!$A:$A,会员档案!$B:$B),"")</f>
        <v/>
      </c>
      <c r="F91" s="31">
        <f>IFERROR(_xlfn.XLOOKUP(B91,会员档案!$A:$A,会员档案!$D:$D),"")</f>
        <v/>
      </c>
      <c r="G91" s="31">
        <f>IFERROR(_xlfn.XLOOKUP(B91,会员档案!$A:$A,会员档案!$E:$E),"")</f>
        <v/>
      </c>
      <c r="H91" s="31">
        <f>IFERROR(_xlfn.XLOOKUP(B91,会员档案!$A:$A,会员档案!$F:$F),"")</f>
        <v/>
      </c>
      <c r="I91" s="31">
        <f>IF(B91="","",IFERROR(VLOOKUP(B91,会员档案!$A:$Q,17,FALSE),""))</f>
        <v/>
      </c>
      <c r="J91" s="11">
        <f>IF(B91="","",IF(OR(H91="次卡",H91="期限卡"),"是","否"))</f>
        <v/>
      </c>
      <c r="K91" s="31">
        <f>IF(J91="是",1,0)</f>
        <v/>
      </c>
    </row>
    <row r="92">
      <c r="C92" s="31">
        <f>IFERROR(_xlfn.XLOOKUP(B92,会员档案!$A:$A,会员档案!$B:$B),"")</f>
        <v/>
      </c>
      <c r="F92" s="31">
        <f>IFERROR(_xlfn.XLOOKUP(B92,会员档案!$A:$A,会员档案!$D:$D),"")</f>
        <v/>
      </c>
      <c r="G92" s="31">
        <f>IFERROR(_xlfn.XLOOKUP(B92,会员档案!$A:$A,会员档案!$E:$E),"")</f>
        <v/>
      </c>
      <c r="H92" s="31">
        <f>IFERROR(_xlfn.XLOOKUP(B92,会员档案!$A:$A,会员档案!$F:$F),"")</f>
        <v/>
      </c>
      <c r="I92" s="31">
        <f>IF(B92="","",IFERROR(VLOOKUP(B92,会员档案!$A:$Q,17,FALSE),""))</f>
        <v/>
      </c>
      <c r="J92" s="11">
        <f>IF(B92="","",IF(OR(H92="次卡",H92="期限卡"),"是","否"))</f>
        <v/>
      </c>
      <c r="K92" s="31">
        <f>IF(J92="是",1,0)</f>
        <v/>
      </c>
    </row>
    <row r="93">
      <c r="C93" s="31">
        <f>IFERROR(_xlfn.XLOOKUP(B93,会员档案!$A:$A,会员档案!$B:$B),"")</f>
        <v/>
      </c>
      <c r="F93" s="31">
        <f>IFERROR(_xlfn.XLOOKUP(B93,会员档案!$A:$A,会员档案!$D:$D),"")</f>
        <v/>
      </c>
      <c r="G93" s="31">
        <f>IFERROR(_xlfn.XLOOKUP(B93,会员档案!$A:$A,会员档案!$E:$E),"")</f>
        <v/>
      </c>
      <c r="H93" s="31">
        <f>IFERROR(_xlfn.XLOOKUP(B93,会员档案!$A:$A,会员档案!$F:$F),"")</f>
        <v/>
      </c>
      <c r="I93" s="31">
        <f>IF(B93="","",IFERROR(VLOOKUP(B93,会员档案!$A:$Q,17,FALSE),""))</f>
        <v/>
      </c>
      <c r="J93" s="11">
        <f>IF(B93="","",IF(OR(H93="次卡",H93="期限卡"),"是","否"))</f>
        <v/>
      </c>
      <c r="K93" s="31">
        <f>IF(J93="是",1,0)</f>
        <v/>
      </c>
    </row>
    <row r="94">
      <c r="C94" s="31">
        <f>IFERROR(_xlfn.XLOOKUP(B94,会员档案!$A:$A,会员档案!$B:$B),"")</f>
        <v/>
      </c>
      <c r="F94" s="31">
        <f>IFERROR(_xlfn.XLOOKUP(B94,会员档案!$A:$A,会员档案!$D:$D),"")</f>
        <v/>
      </c>
      <c r="G94" s="31">
        <f>IFERROR(_xlfn.XLOOKUP(B94,会员档案!$A:$A,会员档案!$E:$E),"")</f>
        <v/>
      </c>
      <c r="H94" s="31">
        <f>IFERROR(_xlfn.XLOOKUP(B94,会员档案!$A:$A,会员档案!$F:$F),"")</f>
        <v/>
      </c>
      <c r="I94" s="31">
        <f>IF(B94="","",IFERROR(VLOOKUP(B94,会员档案!$A:$Q,17,FALSE),""))</f>
        <v/>
      </c>
      <c r="J94" s="11">
        <f>IF(B94="","",IF(OR(H94="次卡",H94="期限卡"),"是","否"))</f>
        <v/>
      </c>
      <c r="K94" s="31">
        <f>IF(J94="是",1,0)</f>
        <v/>
      </c>
    </row>
    <row r="95">
      <c r="C95" s="31">
        <f>IFERROR(_xlfn.XLOOKUP(B95,会员档案!$A:$A,会员档案!$B:$B),"")</f>
        <v/>
      </c>
      <c r="F95" s="31">
        <f>IFERROR(_xlfn.XLOOKUP(B95,会员档案!$A:$A,会员档案!$D:$D),"")</f>
        <v/>
      </c>
      <c r="G95" s="31">
        <f>IFERROR(_xlfn.XLOOKUP(B95,会员档案!$A:$A,会员档案!$E:$E),"")</f>
        <v/>
      </c>
      <c r="H95" s="31">
        <f>IFERROR(_xlfn.XLOOKUP(B95,会员档案!$A:$A,会员档案!$F:$F),"")</f>
        <v/>
      </c>
      <c r="I95" s="31">
        <f>IF(B95="","",IFERROR(VLOOKUP(B95,会员档案!$A:$Q,17,FALSE),""))</f>
        <v/>
      </c>
      <c r="J95" s="11">
        <f>IF(B95="","",IF(OR(H95="次卡",H95="期限卡"),"是","否"))</f>
        <v/>
      </c>
      <c r="K95" s="31">
        <f>IF(J95="是",1,0)</f>
        <v/>
      </c>
    </row>
    <row r="96">
      <c r="C96" s="31">
        <f>IFERROR(_xlfn.XLOOKUP(B96,会员档案!$A:$A,会员档案!$B:$B),"")</f>
        <v/>
      </c>
      <c r="F96" s="31">
        <f>IFERROR(_xlfn.XLOOKUP(B96,会员档案!$A:$A,会员档案!$D:$D),"")</f>
        <v/>
      </c>
      <c r="G96" s="31">
        <f>IFERROR(_xlfn.XLOOKUP(B96,会员档案!$A:$A,会员档案!$E:$E),"")</f>
        <v/>
      </c>
      <c r="H96" s="31">
        <f>IFERROR(_xlfn.XLOOKUP(B96,会员档案!$A:$A,会员档案!$F:$F),"")</f>
        <v/>
      </c>
      <c r="I96" s="31">
        <f>IF(B96="","",IFERROR(VLOOKUP(B96,会员档案!$A:$Q,17,FALSE),""))</f>
        <v/>
      </c>
      <c r="J96" s="11">
        <f>IF(B96="","",IF(OR(H96="次卡",H96="期限卡"),"是","否"))</f>
        <v/>
      </c>
      <c r="K96" s="31">
        <f>IF(J96="是",1,0)</f>
        <v/>
      </c>
    </row>
    <row r="97">
      <c r="C97" s="31">
        <f>IFERROR(_xlfn.XLOOKUP(B97,会员档案!$A:$A,会员档案!$B:$B),"")</f>
        <v/>
      </c>
      <c r="F97" s="31">
        <f>IFERROR(_xlfn.XLOOKUP(B97,会员档案!$A:$A,会员档案!$D:$D),"")</f>
        <v/>
      </c>
      <c r="G97" s="31">
        <f>IFERROR(_xlfn.XLOOKUP(B97,会员档案!$A:$A,会员档案!$E:$E),"")</f>
        <v/>
      </c>
      <c r="H97" s="31">
        <f>IFERROR(_xlfn.XLOOKUP(B97,会员档案!$A:$A,会员档案!$F:$F),"")</f>
        <v/>
      </c>
      <c r="I97" s="31">
        <f>IF(B97="","",IFERROR(VLOOKUP(B97,会员档案!$A:$Q,17,FALSE),""))</f>
        <v/>
      </c>
      <c r="J97" s="11">
        <f>IF(B97="","",IF(OR(H97="次卡",H97="期限卡"),"是","否"))</f>
        <v/>
      </c>
      <c r="K97" s="31">
        <f>IF(J97="是",1,0)</f>
        <v/>
      </c>
    </row>
    <row r="98">
      <c r="C98" s="31">
        <f>IFERROR(_xlfn.XLOOKUP(B98,会员档案!$A:$A,会员档案!$B:$B),"")</f>
        <v/>
      </c>
      <c r="F98" s="31">
        <f>IFERROR(_xlfn.XLOOKUP(B98,会员档案!$A:$A,会员档案!$D:$D),"")</f>
        <v/>
      </c>
      <c r="G98" s="31">
        <f>IFERROR(_xlfn.XLOOKUP(B98,会员档案!$A:$A,会员档案!$E:$E),"")</f>
        <v/>
      </c>
      <c r="H98" s="31">
        <f>IFERROR(_xlfn.XLOOKUP(B98,会员档案!$A:$A,会员档案!$F:$F),"")</f>
        <v/>
      </c>
      <c r="I98" s="31">
        <f>IF(B98="","",IFERROR(VLOOKUP(B98,会员档案!$A:$Q,17,FALSE),""))</f>
        <v/>
      </c>
      <c r="J98" s="11">
        <f>IF(B98="","",IF(OR(H98="次卡",H98="期限卡"),"是","否"))</f>
        <v/>
      </c>
      <c r="K98" s="31">
        <f>IF(J98="是",1,0)</f>
        <v/>
      </c>
    </row>
    <row r="99">
      <c r="C99" s="31">
        <f>IFERROR(_xlfn.XLOOKUP(B99,会员档案!$A:$A,会员档案!$B:$B),"")</f>
        <v/>
      </c>
      <c r="F99" s="31">
        <f>IFERROR(_xlfn.XLOOKUP(B99,会员档案!$A:$A,会员档案!$D:$D),"")</f>
        <v/>
      </c>
      <c r="G99" s="31">
        <f>IFERROR(_xlfn.XLOOKUP(B99,会员档案!$A:$A,会员档案!$E:$E),"")</f>
        <v/>
      </c>
      <c r="H99" s="31">
        <f>IFERROR(_xlfn.XLOOKUP(B99,会员档案!$A:$A,会员档案!$F:$F),"")</f>
        <v/>
      </c>
      <c r="I99" s="31">
        <f>IF(B99="","",IFERROR(VLOOKUP(B99,会员档案!$A:$Q,17,FALSE),""))</f>
        <v/>
      </c>
      <c r="J99" s="11">
        <f>IF(B99="","",IF(OR(H99="次卡",H99="期限卡"),"是","否"))</f>
        <v/>
      </c>
      <c r="K99" s="31">
        <f>IF(J99="是",1,0)</f>
        <v/>
      </c>
    </row>
    <row r="100">
      <c r="C100" s="31">
        <f>IFERROR(_xlfn.XLOOKUP(B100,会员档案!$A:$A,会员档案!$B:$B),"")</f>
        <v/>
      </c>
      <c r="F100" s="31">
        <f>IFERROR(_xlfn.XLOOKUP(B100,会员档案!$A:$A,会员档案!$D:$D),"")</f>
        <v/>
      </c>
      <c r="G100" s="31">
        <f>IFERROR(_xlfn.XLOOKUP(B100,会员档案!$A:$A,会员档案!$E:$E),"")</f>
        <v/>
      </c>
      <c r="H100" s="31">
        <f>IFERROR(_xlfn.XLOOKUP(B100,会员档案!$A:$A,会员档案!$F:$F),"")</f>
        <v/>
      </c>
      <c r="I100" s="31">
        <f>IF(B100="","",IFERROR(VLOOKUP(B100,会员档案!$A:$Q,17,FALSE),""))</f>
        <v/>
      </c>
      <c r="J100" s="11">
        <f>IF(B100="","",IF(OR(H100="次卡",H100="期限卡"),"是","否"))</f>
        <v/>
      </c>
      <c r="K100" s="31">
        <f>IF(J100="是",1,0)</f>
        <v/>
      </c>
    </row>
    <row r="101">
      <c r="C101" s="31">
        <f>IFERROR(_xlfn.XLOOKUP(B101,会员档案!$A:$A,会员档案!$B:$B),"")</f>
        <v/>
      </c>
      <c r="F101" s="31">
        <f>IFERROR(_xlfn.XLOOKUP(B101,会员档案!$A:$A,会员档案!$D:$D),"")</f>
        <v/>
      </c>
      <c r="G101" s="31">
        <f>IFERROR(_xlfn.XLOOKUP(B101,会员档案!$A:$A,会员档案!$E:$E),"")</f>
        <v/>
      </c>
      <c r="H101" s="31">
        <f>IFERROR(_xlfn.XLOOKUP(B101,会员档案!$A:$A,会员档案!$F:$F),"")</f>
        <v/>
      </c>
      <c r="I101" s="31">
        <f>IF(B101="","",IFERROR(VLOOKUP(B101,会员档案!$A:$Q,17,FALSE),""))</f>
        <v/>
      </c>
      <c r="J101" s="11">
        <f>IF(B101="","",IF(OR(H101="次卡",H101="期限卡"),"是","否"))</f>
        <v/>
      </c>
      <c r="K101" s="31">
        <f>IF(J101="是",1,0)</f>
        <v/>
      </c>
    </row>
    <row r="102">
      <c r="C102" s="31">
        <f>IFERROR(_xlfn.XLOOKUP(B102,会员档案!$A:$A,会员档案!$B:$B),"")</f>
        <v/>
      </c>
      <c r="F102" s="31">
        <f>IFERROR(_xlfn.XLOOKUP(B102,会员档案!$A:$A,会员档案!$D:$D),"")</f>
        <v/>
      </c>
      <c r="G102" s="31">
        <f>IFERROR(_xlfn.XLOOKUP(B102,会员档案!$A:$A,会员档案!$E:$E),"")</f>
        <v/>
      </c>
      <c r="H102" s="31">
        <f>IFERROR(_xlfn.XLOOKUP(B102,会员档案!$A:$A,会员档案!$F:$F),"")</f>
        <v/>
      </c>
      <c r="I102" s="31">
        <f>IF(B102="","",IFERROR(VLOOKUP(B102,会员档案!$A:$Q,17,FALSE),""))</f>
        <v/>
      </c>
      <c r="J102" s="11">
        <f>IF(B102="","",IF(OR(H102="次卡",H102="期限卡"),"是","否"))</f>
        <v/>
      </c>
      <c r="K102" s="31">
        <f>IF(J102="是",1,0)</f>
        <v/>
      </c>
    </row>
    <row r="103">
      <c r="C103" s="31">
        <f>IFERROR(_xlfn.XLOOKUP(B103,会员档案!$A:$A,会员档案!$B:$B),"")</f>
        <v/>
      </c>
      <c r="F103" s="31">
        <f>IFERROR(_xlfn.XLOOKUP(B103,会员档案!$A:$A,会员档案!$D:$D),"")</f>
        <v/>
      </c>
      <c r="G103" s="31">
        <f>IFERROR(_xlfn.XLOOKUP(B103,会员档案!$A:$A,会员档案!$E:$E),"")</f>
        <v/>
      </c>
      <c r="H103" s="31">
        <f>IFERROR(_xlfn.XLOOKUP(B103,会员档案!$A:$A,会员档案!$F:$F),"")</f>
        <v/>
      </c>
      <c r="I103" s="31">
        <f>IF(B103="","",IFERROR(VLOOKUP(B103,会员档案!$A:$Q,17,FALSE),""))</f>
        <v/>
      </c>
      <c r="J103" s="11">
        <f>IF(B103="","",IF(OR(H103="次卡",H103="期限卡"),"是","否"))</f>
        <v/>
      </c>
      <c r="K103" s="31">
        <f>IF(J103="是",1,0)</f>
        <v/>
      </c>
    </row>
    <row r="104">
      <c r="C104" s="31">
        <f>IFERROR(_xlfn.XLOOKUP(B104,会员档案!$A:$A,会员档案!$B:$B),"")</f>
        <v/>
      </c>
      <c r="F104" s="31">
        <f>IFERROR(_xlfn.XLOOKUP(B104,会员档案!$A:$A,会员档案!$D:$D),"")</f>
        <v/>
      </c>
      <c r="G104" s="31">
        <f>IFERROR(_xlfn.XLOOKUP(B104,会员档案!$A:$A,会员档案!$E:$E),"")</f>
        <v/>
      </c>
      <c r="H104" s="31">
        <f>IFERROR(_xlfn.XLOOKUP(B104,会员档案!$A:$A,会员档案!$F:$F),"")</f>
        <v/>
      </c>
      <c r="I104" s="31">
        <f>IF(B104="","",IFERROR(VLOOKUP(B104,会员档案!$A:$Q,17,FALSE),""))</f>
        <v/>
      </c>
      <c r="J104" s="11">
        <f>IF(B104="","",IF(OR(H104="次卡",H104="期限卡"),"是","否"))</f>
        <v/>
      </c>
      <c r="K104" s="31">
        <f>IF(J104="是",1,0)</f>
        <v/>
      </c>
    </row>
    <row r="105">
      <c r="C105" s="31">
        <f>IFERROR(_xlfn.XLOOKUP(B105,会员档案!$A:$A,会员档案!$B:$B),"")</f>
        <v/>
      </c>
      <c r="F105" s="31">
        <f>IFERROR(_xlfn.XLOOKUP(B105,会员档案!$A:$A,会员档案!$D:$D),"")</f>
        <v/>
      </c>
      <c r="G105" s="31">
        <f>IFERROR(_xlfn.XLOOKUP(B105,会员档案!$A:$A,会员档案!$E:$E),"")</f>
        <v/>
      </c>
      <c r="H105" s="31">
        <f>IFERROR(_xlfn.XLOOKUP(B105,会员档案!$A:$A,会员档案!$F:$F),"")</f>
        <v/>
      </c>
      <c r="I105" s="31">
        <f>IF(B105="","",IFERROR(VLOOKUP(B105,会员档案!$A:$Q,17,FALSE),""))</f>
        <v/>
      </c>
      <c r="J105" s="11">
        <f>IF(B105="","",IF(OR(H105="次卡",H105="期限卡"),"是","否"))</f>
        <v/>
      </c>
      <c r="K105" s="31">
        <f>IF(J105="是",1,0)</f>
        <v/>
      </c>
    </row>
    <row r="106">
      <c r="C106" s="31">
        <f>IFERROR(_xlfn.XLOOKUP(B106,会员档案!$A:$A,会员档案!$B:$B),"")</f>
        <v/>
      </c>
      <c r="F106" s="31">
        <f>IFERROR(_xlfn.XLOOKUP(B106,会员档案!$A:$A,会员档案!$D:$D),"")</f>
        <v/>
      </c>
      <c r="G106" s="31">
        <f>IFERROR(_xlfn.XLOOKUP(B106,会员档案!$A:$A,会员档案!$E:$E),"")</f>
        <v/>
      </c>
      <c r="H106" s="31">
        <f>IFERROR(_xlfn.XLOOKUP(B106,会员档案!$A:$A,会员档案!$F:$F),"")</f>
        <v/>
      </c>
      <c r="I106" s="31">
        <f>IF(B106="","",IFERROR(VLOOKUP(B106,会员档案!$A:$Q,17,FALSE),""))</f>
        <v/>
      </c>
      <c r="J106" s="11">
        <f>IF(B106="","",IF(OR(H106="次卡",H106="期限卡"),"是","否"))</f>
        <v/>
      </c>
      <c r="K106" s="31">
        <f>IF(J106="是",1,0)</f>
        <v/>
      </c>
    </row>
    <row r="107">
      <c r="C107" s="31">
        <f>IFERROR(_xlfn.XLOOKUP(B107,会员档案!$A:$A,会员档案!$B:$B),"")</f>
        <v/>
      </c>
      <c r="F107" s="31">
        <f>IFERROR(_xlfn.XLOOKUP(B107,会员档案!$A:$A,会员档案!$D:$D),"")</f>
        <v/>
      </c>
      <c r="G107" s="31">
        <f>IFERROR(_xlfn.XLOOKUP(B107,会员档案!$A:$A,会员档案!$E:$E),"")</f>
        <v/>
      </c>
      <c r="H107" s="31">
        <f>IFERROR(_xlfn.XLOOKUP(B107,会员档案!$A:$A,会员档案!$F:$F),"")</f>
        <v/>
      </c>
      <c r="I107" s="31">
        <f>IF(B107="","",IFERROR(VLOOKUP(B107,会员档案!$A:$Q,17,FALSE),""))</f>
        <v/>
      </c>
      <c r="J107" s="11">
        <f>IF(B107="","",IF(OR(H107="次卡",H107="期限卡"),"是","否"))</f>
        <v/>
      </c>
      <c r="K107" s="31">
        <f>IF(J107="是",1,0)</f>
        <v/>
      </c>
    </row>
    <row r="108">
      <c r="C108" s="31">
        <f>IFERROR(_xlfn.XLOOKUP(B108,会员档案!$A:$A,会员档案!$B:$B),"")</f>
        <v/>
      </c>
      <c r="F108" s="31">
        <f>IFERROR(_xlfn.XLOOKUP(B108,会员档案!$A:$A,会员档案!$D:$D),"")</f>
        <v/>
      </c>
      <c r="G108" s="31">
        <f>IFERROR(_xlfn.XLOOKUP(B108,会员档案!$A:$A,会员档案!$E:$E),"")</f>
        <v/>
      </c>
      <c r="H108" s="31">
        <f>IFERROR(_xlfn.XLOOKUP(B108,会员档案!$A:$A,会员档案!$F:$F),"")</f>
        <v/>
      </c>
      <c r="I108" s="31">
        <f>IF(B108="","",IFERROR(VLOOKUP(B108,会员档案!$A:$Q,17,FALSE),""))</f>
        <v/>
      </c>
      <c r="J108" s="11">
        <f>IF(B108="","",IF(OR(H108="次卡",H108="期限卡"),"是","否"))</f>
        <v/>
      </c>
      <c r="K108" s="31">
        <f>IF(J108="是",1,0)</f>
        <v/>
      </c>
    </row>
    <row r="109">
      <c r="C109" s="31">
        <f>IFERROR(_xlfn.XLOOKUP(B109,会员档案!$A:$A,会员档案!$B:$B),"")</f>
        <v/>
      </c>
      <c r="F109" s="31">
        <f>IFERROR(_xlfn.XLOOKUP(B109,会员档案!$A:$A,会员档案!$D:$D),"")</f>
        <v/>
      </c>
      <c r="G109" s="31">
        <f>IFERROR(_xlfn.XLOOKUP(B109,会员档案!$A:$A,会员档案!$E:$E),"")</f>
        <v/>
      </c>
      <c r="H109" s="31">
        <f>IFERROR(_xlfn.XLOOKUP(B109,会员档案!$A:$A,会员档案!$F:$F),"")</f>
        <v/>
      </c>
      <c r="I109" s="31">
        <f>IF(B109="","",IFERROR(VLOOKUP(B109,会员档案!$A:$Q,17,FALSE),""))</f>
        <v/>
      </c>
      <c r="J109" s="11">
        <f>IF(B109="","",IF(OR(H109="次卡",H109="期限卡"),"是","否"))</f>
        <v/>
      </c>
      <c r="K109" s="31">
        <f>IF(J109="是",1,0)</f>
        <v/>
      </c>
    </row>
    <row r="110">
      <c r="C110" s="31">
        <f>IFERROR(_xlfn.XLOOKUP(B110,会员档案!$A:$A,会员档案!$B:$B),"")</f>
        <v/>
      </c>
      <c r="F110" s="31">
        <f>IFERROR(_xlfn.XLOOKUP(B110,会员档案!$A:$A,会员档案!$D:$D),"")</f>
        <v/>
      </c>
      <c r="G110" s="31">
        <f>IFERROR(_xlfn.XLOOKUP(B110,会员档案!$A:$A,会员档案!$E:$E),"")</f>
        <v/>
      </c>
      <c r="H110" s="31">
        <f>IFERROR(_xlfn.XLOOKUP(B110,会员档案!$A:$A,会员档案!$F:$F),"")</f>
        <v/>
      </c>
      <c r="I110" s="31">
        <f>IF(B110="","",IFERROR(VLOOKUP(B110,会员档案!$A:$Q,17,FALSE),""))</f>
        <v/>
      </c>
      <c r="J110" s="11">
        <f>IF(B110="","",IF(OR(H110="次卡",H110="期限卡"),"是","否"))</f>
        <v/>
      </c>
      <c r="K110" s="31">
        <f>IF(J110="是",1,0)</f>
        <v/>
      </c>
    </row>
    <row r="111">
      <c r="C111" s="31">
        <f>IFERROR(_xlfn.XLOOKUP(B111,会员档案!$A:$A,会员档案!$B:$B),"")</f>
        <v/>
      </c>
      <c r="F111" s="31">
        <f>IFERROR(_xlfn.XLOOKUP(B111,会员档案!$A:$A,会员档案!$D:$D),"")</f>
        <v/>
      </c>
      <c r="G111" s="31">
        <f>IFERROR(_xlfn.XLOOKUP(B111,会员档案!$A:$A,会员档案!$E:$E),"")</f>
        <v/>
      </c>
      <c r="H111" s="31">
        <f>IFERROR(_xlfn.XLOOKUP(B111,会员档案!$A:$A,会员档案!$F:$F),"")</f>
        <v/>
      </c>
      <c r="I111" s="31">
        <f>IF(B111="","",IFERROR(VLOOKUP(B111,会员档案!$A:$Q,17,FALSE),""))</f>
        <v/>
      </c>
      <c r="J111" s="11">
        <f>IF(B111="","",IF(OR(H111="次卡",H111="期限卡"),"是","否"))</f>
        <v/>
      </c>
      <c r="K111" s="31">
        <f>IF(J111="是",1,0)</f>
        <v/>
      </c>
    </row>
    <row r="112">
      <c r="C112" s="31">
        <f>IFERROR(_xlfn.XLOOKUP(B112,会员档案!$A:$A,会员档案!$B:$B),"")</f>
        <v/>
      </c>
      <c r="F112" s="31">
        <f>IFERROR(_xlfn.XLOOKUP(B112,会员档案!$A:$A,会员档案!$D:$D),"")</f>
        <v/>
      </c>
      <c r="G112" s="31">
        <f>IFERROR(_xlfn.XLOOKUP(B112,会员档案!$A:$A,会员档案!$E:$E),"")</f>
        <v/>
      </c>
      <c r="H112" s="31">
        <f>IFERROR(_xlfn.XLOOKUP(B112,会员档案!$A:$A,会员档案!$F:$F),"")</f>
        <v/>
      </c>
      <c r="I112" s="31">
        <f>IF(B112="","",IFERROR(VLOOKUP(B112,会员档案!$A:$Q,17,FALSE),""))</f>
        <v/>
      </c>
      <c r="J112" s="11">
        <f>IF(B112="","",IF(OR(H112="次卡",H112="期限卡"),"是","否"))</f>
        <v/>
      </c>
      <c r="K112" s="31">
        <f>IF(J112="是",1,0)</f>
        <v/>
      </c>
    </row>
    <row r="113">
      <c r="C113" s="31">
        <f>IFERROR(_xlfn.XLOOKUP(B113,会员档案!$A:$A,会员档案!$B:$B),"")</f>
        <v/>
      </c>
      <c r="F113" s="31">
        <f>IFERROR(_xlfn.XLOOKUP(B113,会员档案!$A:$A,会员档案!$D:$D),"")</f>
        <v/>
      </c>
      <c r="G113" s="31">
        <f>IFERROR(_xlfn.XLOOKUP(B113,会员档案!$A:$A,会员档案!$E:$E),"")</f>
        <v/>
      </c>
      <c r="H113" s="31">
        <f>IFERROR(_xlfn.XLOOKUP(B113,会员档案!$A:$A,会员档案!$F:$F),"")</f>
        <v/>
      </c>
      <c r="I113" s="31">
        <f>IF(B113="","",IFERROR(VLOOKUP(B113,会员档案!$A:$Q,17,FALSE),""))</f>
        <v/>
      </c>
      <c r="J113" s="11">
        <f>IF(B113="","",IF(OR(H113="次卡",H113="期限卡"),"是","否"))</f>
        <v/>
      </c>
      <c r="K113" s="31">
        <f>IF(J113="是",1,0)</f>
        <v/>
      </c>
    </row>
    <row r="114">
      <c r="C114" s="31">
        <f>IFERROR(_xlfn.XLOOKUP(B114,会员档案!$A:$A,会员档案!$B:$B),"")</f>
        <v/>
      </c>
      <c r="F114" s="31">
        <f>IFERROR(_xlfn.XLOOKUP(B114,会员档案!$A:$A,会员档案!$D:$D),"")</f>
        <v/>
      </c>
      <c r="G114" s="31">
        <f>IFERROR(_xlfn.XLOOKUP(B114,会员档案!$A:$A,会员档案!$E:$E),"")</f>
        <v/>
      </c>
      <c r="H114" s="31">
        <f>IFERROR(_xlfn.XLOOKUP(B114,会员档案!$A:$A,会员档案!$F:$F),"")</f>
        <v/>
      </c>
      <c r="I114" s="31">
        <f>IF(B114="","",IFERROR(VLOOKUP(B114,会员档案!$A:$Q,17,FALSE),""))</f>
        <v/>
      </c>
      <c r="J114" s="11">
        <f>IF(B114="","",IF(OR(H114="次卡",H114="期限卡"),"是","否"))</f>
        <v/>
      </c>
      <c r="K114" s="31">
        <f>IF(J114="是",1,0)</f>
        <v/>
      </c>
    </row>
    <row r="115">
      <c r="C115" s="31">
        <f>IFERROR(_xlfn.XLOOKUP(B115,会员档案!$A:$A,会员档案!$B:$B),"")</f>
        <v/>
      </c>
      <c r="F115" s="31">
        <f>IFERROR(_xlfn.XLOOKUP(B115,会员档案!$A:$A,会员档案!$D:$D),"")</f>
        <v/>
      </c>
      <c r="G115" s="31">
        <f>IFERROR(_xlfn.XLOOKUP(B115,会员档案!$A:$A,会员档案!$E:$E),"")</f>
        <v/>
      </c>
      <c r="H115" s="31">
        <f>IFERROR(_xlfn.XLOOKUP(B115,会员档案!$A:$A,会员档案!$F:$F),"")</f>
        <v/>
      </c>
      <c r="I115" s="31">
        <f>IF(B115="","",IFERROR(VLOOKUP(B115,会员档案!$A:$Q,17,FALSE),""))</f>
        <v/>
      </c>
      <c r="J115" s="11">
        <f>IF(B115="","",IF(OR(H115="次卡",H115="期限卡"),"是","否"))</f>
        <v/>
      </c>
      <c r="K115" s="31">
        <f>IF(J115="是",1,0)</f>
        <v/>
      </c>
    </row>
    <row r="116">
      <c r="C116" s="31">
        <f>IFERROR(_xlfn.XLOOKUP(B116,会员档案!$A:$A,会员档案!$B:$B),"")</f>
        <v/>
      </c>
      <c r="F116" s="31">
        <f>IFERROR(_xlfn.XLOOKUP(B116,会员档案!$A:$A,会员档案!$D:$D),"")</f>
        <v/>
      </c>
      <c r="G116" s="31">
        <f>IFERROR(_xlfn.XLOOKUP(B116,会员档案!$A:$A,会员档案!$E:$E),"")</f>
        <v/>
      </c>
      <c r="H116" s="31">
        <f>IFERROR(_xlfn.XLOOKUP(B116,会员档案!$A:$A,会员档案!$F:$F),"")</f>
        <v/>
      </c>
      <c r="I116" s="31">
        <f>IF(B116="","",IFERROR(VLOOKUP(B116,会员档案!$A:$Q,17,FALSE),""))</f>
        <v/>
      </c>
      <c r="J116" s="11">
        <f>IF(B116="","",IF(OR(H116="次卡",H116="期限卡"),"是","否"))</f>
        <v/>
      </c>
      <c r="K116" s="31">
        <f>IF(J116="是",1,0)</f>
        <v/>
      </c>
    </row>
    <row r="117">
      <c r="C117" s="31">
        <f>IFERROR(_xlfn.XLOOKUP(B117,会员档案!$A:$A,会员档案!$B:$B),"")</f>
        <v/>
      </c>
      <c r="F117" s="31">
        <f>IFERROR(_xlfn.XLOOKUP(B117,会员档案!$A:$A,会员档案!$D:$D),"")</f>
        <v/>
      </c>
      <c r="G117" s="31">
        <f>IFERROR(_xlfn.XLOOKUP(B117,会员档案!$A:$A,会员档案!$E:$E),"")</f>
        <v/>
      </c>
      <c r="H117" s="31">
        <f>IFERROR(_xlfn.XLOOKUP(B117,会员档案!$A:$A,会员档案!$F:$F),"")</f>
        <v/>
      </c>
      <c r="I117" s="31">
        <f>IF(B117="","",IFERROR(VLOOKUP(B117,会员档案!$A:$Q,17,FALSE),""))</f>
        <v/>
      </c>
      <c r="J117" s="11">
        <f>IF(B117="","",IF(OR(H117="次卡",H117="期限卡"),"是","否"))</f>
        <v/>
      </c>
      <c r="K117" s="31">
        <f>IF(J117="是",1,0)</f>
        <v/>
      </c>
    </row>
    <row r="118">
      <c r="C118" s="31">
        <f>IFERROR(_xlfn.XLOOKUP(B118,会员档案!$A:$A,会员档案!$B:$B),"")</f>
        <v/>
      </c>
      <c r="F118" s="31">
        <f>IFERROR(_xlfn.XLOOKUP(B118,会员档案!$A:$A,会员档案!$D:$D),"")</f>
        <v/>
      </c>
      <c r="G118" s="31">
        <f>IFERROR(_xlfn.XLOOKUP(B118,会员档案!$A:$A,会员档案!$E:$E),"")</f>
        <v/>
      </c>
      <c r="H118" s="31">
        <f>IFERROR(_xlfn.XLOOKUP(B118,会员档案!$A:$A,会员档案!$F:$F),"")</f>
        <v/>
      </c>
      <c r="I118" s="31">
        <f>IF(B118="","",IFERROR(VLOOKUP(B118,会员档案!$A:$Q,17,FALSE),""))</f>
        <v/>
      </c>
      <c r="J118" s="11">
        <f>IF(B118="","",IF(OR(H118="次卡",H118="期限卡"),"是","否"))</f>
        <v/>
      </c>
      <c r="K118" s="31">
        <f>IF(J118="是",1,0)</f>
        <v/>
      </c>
    </row>
    <row r="119">
      <c r="C119" s="31">
        <f>IFERROR(_xlfn.XLOOKUP(B119,会员档案!$A:$A,会员档案!$B:$B),"")</f>
        <v/>
      </c>
      <c r="F119" s="31">
        <f>IFERROR(_xlfn.XLOOKUP(B119,会员档案!$A:$A,会员档案!$D:$D),"")</f>
        <v/>
      </c>
      <c r="G119" s="31">
        <f>IFERROR(_xlfn.XLOOKUP(B119,会员档案!$A:$A,会员档案!$E:$E),"")</f>
        <v/>
      </c>
      <c r="H119" s="31">
        <f>IFERROR(_xlfn.XLOOKUP(B119,会员档案!$A:$A,会员档案!$F:$F),"")</f>
        <v/>
      </c>
      <c r="I119" s="31">
        <f>IF(B119="","",IFERROR(VLOOKUP(B119,会员档案!$A:$Q,17,FALSE),""))</f>
        <v/>
      </c>
      <c r="J119" s="11">
        <f>IF(B119="","",IF(OR(H119="次卡",H119="期限卡"),"是","否"))</f>
        <v/>
      </c>
      <c r="K119" s="31">
        <f>IF(J119="是",1,0)</f>
        <v/>
      </c>
    </row>
    <row r="120">
      <c r="C120" s="31">
        <f>IFERROR(_xlfn.XLOOKUP(B120,会员档案!$A:$A,会员档案!$B:$B),"")</f>
        <v/>
      </c>
      <c r="F120" s="31">
        <f>IFERROR(_xlfn.XLOOKUP(B120,会员档案!$A:$A,会员档案!$D:$D),"")</f>
        <v/>
      </c>
      <c r="G120" s="31">
        <f>IFERROR(_xlfn.XLOOKUP(B120,会员档案!$A:$A,会员档案!$E:$E),"")</f>
        <v/>
      </c>
      <c r="H120" s="31">
        <f>IFERROR(_xlfn.XLOOKUP(B120,会员档案!$A:$A,会员档案!$F:$F),"")</f>
        <v/>
      </c>
      <c r="I120" s="31">
        <f>IF(B120="","",IFERROR(VLOOKUP(B120,会员档案!$A:$Q,17,FALSE),""))</f>
        <v/>
      </c>
      <c r="J120" s="11">
        <f>IF(B120="","",IF(OR(H120="次卡",H120="期限卡"),"是","否"))</f>
        <v/>
      </c>
      <c r="K120" s="31">
        <f>IF(J120="是",1,0)</f>
        <v/>
      </c>
    </row>
    <row r="121">
      <c r="C121" s="31">
        <f>IFERROR(_xlfn.XLOOKUP(B121,会员档案!$A:$A,会员档案!$B:$B),"")</f>
        <v/>
      </c>
      <c r="F121" s="31">
        <f>IFERROR(_xlfn.XLOOKUP(B121,会员档案!$A:$A,会员档案!$D:$D),"")</f>
        <v/>
      </c>
      <c r="G121" s="31">
        <f>IFERROR(_xlfn.XLOOKUP(B121,会员档案!$A:$A,会员档案!$E:$E),"")</f>
        <v/>
      </c>
      <c r="H121" s="31">
        <f>IFERROR(_xlfn.XLOOKUP(B121,会员档案!$A:$A,会员档案!$F:$F),"")</f>
        <v/>
      </c>
      <c r="I121" s="31">
        <f>IF(B121="","",IFERROR(VLOOKUP(B121,会员档案!$A:$Q,17,FALSE),""))</f>
        <v/>
      </c>
      <c r="J121" s="11">
        <f>IF(B121="","",IF(OR(H121="次卡",H121="期限卡"),"是","否"))</f>
        <v/>
      </c>
      <c r="K121" s="31">
        <f>IF(J121="是",1,0)</f>
        <v/>
      </c>
    </row>
    <row r="122">
      <c r="C122" s="31">
        <f>IFERROR(_xlfn.XLOOKUP(B122,会员档案!$A:$A,会员档案!$B:$B),"")</f>
        <v/>
      </c>
      <c r="F122" s="31">
        <f>IFERROR(_xlfn.XLOOKUP(B122,会员档案!$A:$A,会员档案!$D:$D),"")</f>
        <v/>
      </c>
      <c r="G122" s="31">
        <f>IFERROR(_xlfn.XLOOKUP(B122,会员档案!$A:$A,会员档案!$E:$E),"")</f>
        <v/>
      </c>
      <c r="H122" s="31">
        <f>IFERROR(_xlfn.XLOOKUP(B122,会员档案!$A:$A,会员档案!$F:$F),"")</f>
        <v/>
      </c>
      <c r="I122" s="31">
        <f>IF(B122="","",IFERROR(VLOOKUP(B122,会员档案!$A:$Q,17,FALSE),""))</f>
        <v/>
      </c>
      <c r="J122" s="11">
        <f>IF(B122="","",IF(OR(H122="次卡",H122="期限卡"),"是","否"))</f>
        <v/>
      </c>
      <c r="K122" s="31">
        <f>IF(J122="是",1,0)</f>
        <v/>
      </c>
    </row>
    <row r="123">
      <c r="C123" s="31">
        <f>IFERROR(_xlfn.XLOOKUP(B123,会员档案!$A:$A,会员档案!$B:$B),"")</f>
        <v/>
      </c>
      <c r="F123" s="31">
        <f>IFERROR(_xlfn.XLOOKUP(B123,会员档案!$A:$A,会员档案!$D:$D),"")</f>
        <v/>
      </c>
      <c r="G123" s="31">
        <f>IFERROR(_xlfn.XLOOKUP(B123,会员档案!$A:$A,会员档案!$E:$E),"")</f>
        <v/>
      </c>
      <c r="H123" s="31">
        <f>IFERROR(_xlfn.XLOOKUP(B123,会员档案!$A:$A,会员档案!$F:$F),"")</f>
        <v/>
      </c>
      <c r="I123" s="31">
        <f>IF(B123="","",IFERROR(VLOOKUP(B123,会员档案!$A:$Q,17,FALSE),""))</f>
        <v/>
      </c>
      <c r="J123" s="11">
        <f>IF(B123="","",IF(OR(H123="次卡",H123="期限卡"),"是","否"))</f>
        <v/>
      </c>
      <c r="K123" s="31">
        <f>IF(J123="是",1,0)</f>
        <v/>
      </c>
    </row>
    <row r="124">
      <c r="C124" s="31">
        <f>IFERROR(_xlfn.XLOOKUP(B124,会员档案!$A:$A,会员档案!$B:$B),"")</f>
        <v/>
      </c>
      <c r="F124" s="31">
        <f>IFERROR(_xlfn.XLOOKUP(B124,会员档案!$A:$A,会员档案!$D:$D),"")</f>
        <v/>
      </c>
      <c r="G124" s="31">
        <f>IFERROR(_xlfn.XLOOKUP(B124,会员档案!$A:$A,会员档案!$E:$E),"")</f>
        <v/>
      </c>
      <c r="H124" s="31">
        <f>IFERROR(_xlfn.XLOOKUP(B124,会员档案!$A:$A,会员档案!$F:$F),"")</f>
        <v/>
      </c>
      <c r="I124" s="31">
        <f>IF(B124="","",IFERROR(VLOOKUP(B124,会员档案!$A:$Q,17,FALSE),""))</f>
        <v/>
      </c>
      <c r="J124" s="11">
        <f>IF(B124="","",IF(OR(H124="次卡",H124="期限卡"),"是","否"))</f>
        <v/>
      </c>
      <c r="K124" s="31">
        <f>IF(J124="是",1,0)</f>
        <v/>
      </c>
    </row>
    <row r="125">
      <c r="C125" s="31">
        <f>IFERROR(_xlfn.XLOOKUP(B125,会员档案!$A:$A,会员档案!$B:$B),"")</f>
        <v/>
      </c>
      <c r="F125" s="31">
        <f>IFERROR(_xlfn.XLOOKUP(B125,会员档案!$A:$A,会员档案!$D:$D),"")</f>
        <v/>
      </c>
      <c r="G125" s="31">
        <f>IFERROR(_xlfn.XLOOKUP(B125,会员档案!$A:$A,会员档案!$E:$E),"")</f>
        <v/>
      </c>
      <c r="H125" s="31">
        <f>IFERROR(_xlfn.XLOOKUP(B125,会员档案!$A:$A,会员档案!$F:$F),"")</f>
        <v/>
      </c>
      <c r="I125" s="31">
        <f>IF(B125="","",IFERROR(VLOOKUP(B125,会员档案!$A:$Q,17,FALSE),""))</f>
        <v/>
      </c>
      <c r="J125" s="11">
        <f>IF(B125="","",IF(OR(H125="次卡",H125="期限卡"),"是","否"))</f>
        <v/>
      </c>
      <c r="K125" s="31">
        <f>IF(J125="是",1,0)</f>
        <v/>
      </c>
    </row>
    <row r="126">
      <c r="C126" s="31">
        <f>IFERROR(_xlfn.XLOOKUP(B126,会员档案!$A:$A,会员档案!$B:$B),"")</f>
        <v/>
      </c>
      <c r="F126" s="31">
        <f>IFERROR(_xlfn.XLOOKUP(B126,会员档案!$A:$A,会员档案!$D:$D),"")</f>
        <v/>
      </c>
      <c r="G126" s="31">
        <f>IFERROR(_xlfn.XLOOKUP(B126,会员档案!$A:$A,会员档案!$E:$E),"")</f>
        <v/>
      </c>
      <c r="H126" s="31">
        <f>IFERROR(_xlfn.XLOOKUP(B126,会员档案!$A:$A,会员档案!$F:$F),"")</f>
        <v/>
      </c>
      <c r="I126" s="31">
        <f>IF(B126="","",IFERROR(VLOOKUP(B126,会员档案!$A:$Q,17,FALSE),""))</f>
        <v/>
      </c>
      <c r="J126" s="11">
        <f>IF(B126="","",IF(OR(H126="次卡",H126="期限卡"),"是","否"))</f>
        <v/>
      </c>
      <c r="K126" s="31">
        <f>IF(J126="是",1,0)</f>
        <v/>
      </c>
    </row>
    <row r="127">
      <c r="C127" s="31">
        <f>IFERROR(_xlfn.XLOOKUP(B127,会员档案!$A:$A,会员档案!$B:$B),"")</f>
        <v/>
      </c>
      <c r="F127" s="31">
        <f>IFERROR(_xlfn.XLOOKUP(B127,会员档案!$A:$A,会员档案!$D:$D),"")</f>
        <v/>
      </c>
      <c r="G127" s="31">
        <f>IFERROR(_xlfn.XLOOKUP(B127,会员档案!$A:$A,会员档案!$E:$E),"")</f>
        <v/>
      </c>
      <c r="H127" s="31">
        <f>IFERROR(_xlfn.XLOOKUP(B127,会员档案!$A:$A,会员档案!$F:$F),"")</f>
        <v/>
      </c>
      <c r="I127" s="31">
        <f>IF(B127="","",IFERROR(VLOOKUP(B127,会员档案!$A:$Q,17,FALSE),""))</f>
        <v/>
      </c>
      <c r="J127" s="11">
        <f>IF(B127="","",IF(OR(H127="次卡",H127="期限卡"),"是","否"))</f>
        <v/>
      </c>
      <c r="K127" s="31">
        <f>IF(J127="是",1,0)</f>
        <v/>
      </c>
    </row>
    <row r="128">
      <c r="C128" s="31">
        <f>IFERROR(_xlfn.XLOOKUP(B128,会员档案!$A:$A,会员档案!$B:$B),"")</f>
        <v/>
      </c>
      <c r="F128" s="31">
        <f>IFERROR(_xlfn.XLOOKUP(B128,会员档案!$A:$A,会员档案!$D:$D),"")</f>
        <v/>
      </c>
      <c r="G128" s="31">
        <f>IFERROR(_xlfn.XLOOKUP(B128,会员档案!$A:$A,会员档案!$E:$E),"")</f>
        <v/>
      </c>
      <c r="H128" s="31">
        <f>IFERROR(_xlfn.XLOOKUP(B128,会员档案!$A:$A,会员档案!$F:$F),"")</f>
        <v/>
      </c>
      <c r="I128" s="31">
        <f>IF(B128="","",IFERROR(VLOOKUP(B128,会员档案!$A:$Q,17,FALSE),""))</f>
        <v/>
      </c>
      <c r="J128" s="11">
        <f>IF(B128="","",IF(OR(H128="次卡",H128="期限卡"),"是","否"))</f>
        <v/>
      </c>
      <c r="K128" s="31">
        <f>IF(J128="是",1,0)</f>
        <v/>
      </c>
    </row>
    <row r="129">
      <c r="C129" s="31">
        <f>IFERROR(_xlfn.XLOOKUP(B129,会员档案!$A:$A,会员档案!$B:$B),"")</f>
        <v/>
      </c>
      <c r="F129" s="31">
        <f>IFERROR(_xlfn.XLOOKUP(B129,会员档案!$A:$A,会员档案!$D:$D),"")</f>
        <v/>
      </c>
      <c r="G129" s="31">
        <f>IFERROR(_xlfn.XLOOKUP(B129,会员档案!$A:$A,会员档案!$E:$E),"")</f>
        <v/>
      </c>
      <c r="H129" s="31">
        <f>IFERROR(_xlfn.XLOOKUP(B129,会员档案!$A:$A,会员档案!$F:$F),"")</f>
        <v/>
      </c>
      <c r="I129" s="31">
        <f>IF(B129="","",IFERROR(VLOOKUP(B129,会员档案!$A:$Q,17,FALSE),""))</f>
        <v/>
      </c>
      <c r="J129" s="11">
        <f>IF(B129="","",IF(OR(H129="次卡",H129="期限卡"),"是","否"))</f>
        <v/>
      </c>
      <c r="K129" s="31">
        <f>IF(J129="是",1,0)</f>
        <v/>
      </c>
    </row>
    <row r="130">
      <c r="C130" s="31">
        <f>IFERROR(_xlfn.XLOOKUP(B130,会员档案!$A:$A,会员档案!$B:$B),"")</f>
        <v/>
      </c>
      <c r="F130" s="31">
        <f>IFERROR(_xlfn.XLOOKUP(B130,会员档案!$A:$A,会员档案!$D:$D),"")</f>
        <v/>
      </c>
      <c r="G130" s="31">
        <f>IFERROR(_xlfn.XLOOKUP(B130,会员档案!$A:$A,会员档案!$E:$E),"")</f>
        <v/>
      </c>
      <c r="H130" s="31">
        <f>IFERROR(_xlfn.XLOOKUP(B130,会员档案!$A:$A,会员档案!$F:$F),"")</f>
        <v/>
      </c>
      <c r="I130" s="31">
        <f>IF(B130="","",IFERROR(VLOOKUP(B130,会员档案!$A:$Q,17,FALSE),""))</f>
        <v/>
      </c>
      <c r="J130" s="11">
        <f>IF(B130="","",IF(OR(H130="次卡",H130="期限卡"),"是","否"))</f>
        <v/>
      </c>
      <c r="K130" s="31">
        <f>IF(J130="是",1,0)</f>
        <v/>
      </c>
    </row>
    <row r="131">
      <c r="C131" s="31">
        <f>IFERROR(_xlfn.XLOOKUP(B131,会员档案!$A:$A,会员档案!$B:$B),"")</f>
        <v/>
      </c>
      <c r="F131" s="31">
        <f>IFERROR(_xlfn.XLOOKUP(B131,会员档案!$A:$A,会员档案!$D:$D),"")</f>
        <v/>
      </c>
      <c r="G131" s="31">
        <f>IFERROR(_xlfn.XLOOKUP(B131,会员档案!$A:$A,会员档案!$E:$E),"")</f>
        <v/>
      </c>
      <c r="H131" s="31">
        <f>IFERROR(_xlfn.XLOOKUP(B131,会员档案!$A:$A,会员档案!$F:$F),"")</f>
        <v/>
      </c>
      <c r="I131" s="31">
        <f>IF(B131="","",IFERROR(VLOOKUP(B131,会员档案!$A:$Q,17,FALSE),""))</f>
        <v/>
      </c>
      <c r="J131" s="11">
        <f>IF(B131="","",IF(OR(H131="次卡",H131="期限卡"),"是","否"))</f>
        <v/>
      </c>
      <c r="K131" s="31">
        <f>IF(J131="是",1,0)</f>
        <v/>
      </c>
    </row>
    <row r="132">
      <c r="C132" s="31">
        <f>IFERROR(_xlfn.XLOOKUP(B132,会员档案!$A:$A,会员档案!$B:$B),"")</f>
        <v/>
      </c>
      <c r="F132" s="31">
        <f>IFERROR(_xlfn.XLOOKUP(B132,会员档案!$A:$A,会员档案!$D:$D),"")</f>
        <v/>
      </c>
      <c r="G132" s="31">
        <f>IFERROR(_xlfn.XLOOKUP(B132,会员档案!$A:$A,会员档案!$E:$E),"")</f>
        <v/>
      </c>
      <c r="H132" s="31">
        <f>IFERROR(_xlfn.XLOOKUP(B132,会员档案!$A:$A,会员档案!$F:$F),"")</f>
        <v/>
      </c>
      <c r="I132" s="31">
        <f>IF(B132="","",IFERROR(VLOOKUP(B132,会员档案!$A:$Q,17,FALSE),""))</f>
        <v/>
      </c>
      <c r="J132" s="11">
        <f>IF(B132="","",IF(OR(H132="次卡",H132="期限卡"),"是","否"))</f>
        <v/>
      </c>
      <c r="K132" s="31">
        <f>IF(J132="是",1,0)</f>
        <v/>
      </c>
    </row>
    <row r="133">
      <c r="C133" s="31">
        <f>IFERROR(_xlfn.XLOOKUP(B133,会员档案!$A:$A,会员档案!$B:$B),"")</f>
        <v/>
      </c>
      <c r="F133" s="31">
        <f>IFERROR(_xlfn.XLOOKUP(B133,会员档案!$A:$A,会员档案!$D:$D),"")</f>
        <v/>
      </c>
      <c r="G133" s="31">
        <f>IFERROR(_xlfn.XLOOKUP(B133,会员档案!$A:$A,会员档案!$E:$E),"")</f>
        <v/>
      </c>
      <c r="H133" s="31">
        <f>IFERROR(_xlfn.XLOOKUP(B133,会员档案!$A:$A,会员档案!$F:$F),"")</f>
        <v/>
      </c>
      <c r="I133" s="31">
        <f>IF(B133="","",IFERROR(VLOOKUP(B133,会员档案!$A:$Q,17,FALSE),""))</f>
        <v/>
      </c>
      <c r="J133" s="11">
        <f>IF(B133="","",IF(OR(H133="次卡",H133="期限卡"),"是","否"))</f>
        <v/>
      </c>
      <c r="K133" s="31">
        <f>IF(J133="是",1,0)</f>
        <v/>
      </c>
    </row>
    <row r="134">
      <c r="C134" s="31">
        <f>IFERROR(_xlfn.XLOOKUP(B134,会员档案!$A:$A,会员档案!$B:$B),"")</f>
        <v/>
      </c>
      <c r="F134" s="31">
        <f>IFERROR(_xlfn.XLOOKUP(B134,会员档案!$A:$A,会员档案!$D:$D),"")</f>
        <v/>
      </c>
      <c r="G134" s="31">
        <f>IFERROR(_xlfn.XLOOKUP(B134,会员档案!$A:$A,会员档案!$E:$E),"")</f>
        <v/>
      </c>
      <c r="H134" s="31">
        <f>IFERROR(_xlfn.XLOOKUP(B134,会员档案!$A:$A,会员档案!$F:$F),"")</f>
        <v/>
      </c>
      <c r="I134" s="31">
        <f>IF(B134="","",IFERROR(VLOOKUP(B134,会员档案!$A:$Q,17,FALSE),""))</f>
        <v/>
      </c>
      <c r="J134" s="11">
        <f>IF(B134="","",IF(OR(H134="次卡",H134="期限卡"),"是","否"))</f>
        <v/>
      </c>
      <c r="K134" s="31">
        <f>IF(J134="是",1,0)</f>
        <v/>
      </c>
    </row>
    <row r="135">
      <c r="C135" s="31">
        <f>IFERROR(_xlfn.XLOOKUP(B135,会员档案!$A:$A,会员档案!$B:$B),"")</f>
        <v/>
      </c>
      <c r="F135" s="31">
        <f>IFERROR(_xlfn.XLOOKUP(B135,会员档案!$A:$A,会员档案!$D:$D),"")</f>
        <v/>
      </c>
      <c r="G135" s="31">
        <f>IFERROR(_xlfn.XLOOKUP(B135,会员档案!$A:$A,会员档案!$E:$E),"")</f>
        <v/>
      </c>
      <c r="H135" s="31">
        <f>IFERROR(_xlfn.XLOOKUP(B135,会员档案!$A:$A,会员档案!$F:$F),"")</f>
        <v/>
      </c>
      <c r="I135" s="31">
        <f>IF(B135="","",IFERROR(VLOOKUP(B135,会员档案!$A:$Q,17,FALSE),""))</f>
        <v/>
      </c>
      <c r="J135" s="11">
        <f>IF(B135="","",IF(OR(H135="次卡",H135="期限卡"),"是","否"))</f>
        <v/>
      </c>
      <c r="K135" s="31">
        <f>IF(J135="是",1,0)</f>
        <v/>
      </c>
    </row>
    <row r="136">
      <c r="C136" s="31">
        <f>IFERROR(_xlfn.XLOOKUP(B136,会员档案!$A:$A,会员档案!$B:$B),"")</f>
        <v/>
      </c>
      <c r="F136" s="31">
        <f>IFERROR(_xlfn.XLOOKUP(B136,会员档案!$A:$A,会员档案!$D:$D),"")</f>
        <v/>
      </c>
      <c r="G136" s="31">
        <f>IFERROR(_xlfn.XLOOKUP(B136,会员档案!$A:$A,会员档案!$E:$E),"")</f>
        <v/>
      </c>
      <c r="H136" s="31">
        <f>IFERROR(_xlfn.XLOOKUP(B136,会员档案!$A:$A,会员档案!$F:$F),"")</f>
        <v/>
      </c>
      <c r="I136" s="31">
        <f>IF(B136="","",IFERROR(VLOOKUP(B136,会员档案!$A:$Q,17,FALSE),""))</f>
        <v/>
      </c>
      <c r="J136" s="11">
        <f>IF(B136="","",IF(OR(H136="次卡",H136="期限卡"),"是","否"))</f>
        <v/>
      </c>
      <c r="K136" s="31">
        <f>IF(J136="是",1,0)</f>
        <v/>
      </c>
    </row>
    <row r="137">
      <c r="C137" s="31">
        <f>IFERROR(_xlfn.XLOOKUP(B137,会员档案!$A:$A,会员档案!$B:$B),"")</f>
        <v/>
      </c>
      <c r="F137" s="31">
        <f>IFERROR(_xlfn.XLOOKUP(B137,会员档案!$A:$A,会员档案!$D:$D),"")</f>
        <v/>
      </c>
      <c r="G137" s="31">
        <f>IFERROR(_xlfn.XLOOKUP(B137,会员档案!$A:$A,会员档案!$E:$E),"")</f>
        <v/>
      </c>
      <c r="H137" s="31">
        <f>IFERROR(_xlfn.XLOOKUP(B137,会员档案!$A:$A,会员档案!$F:$F),"")</f>
        <v/>
      </c>
      <c r="I137" s="31">
        <f>IF(B137="","",IFERROR(VLOOKUP(B137,会员档案!$A:$Q,17,FALSE),""))</f>
        <v/>
      </c>
      <c r="J137" s="11">
        <f>IF(B137="","",IF(OR(H137="次卡",H137="期限卡"),"是","否"))</f>
        <v/>
      </c>
      <c r="K137" s="31">
        <f>IF(J137="是",1,0)</f>
        <v/>
      </c>
    </row>
    <row r="138">
      <c r="C138" s="31">
        <f>IFERROR(_xlfn.XLOOKUP(B138,会员档案!$A:$A,会员档案!$B:$B),"")</f>
        <v/>
      </c>
      <c r="F138" s="31">
        <f>IFERROR(_xlfn.XLOOKUP(B138,会员档案!$A:$A,会员档案!$D:$D),"")</f>
        <v/>
      </c>
      <c r="G138" s="31">
        <f>IFERROR(_xlfn.XLOOKUP(B138,会员档案!$A:$A,会员档案!$E:$E),"")</f>
        <v/>
      </c>
      <c r="H138" s="31">
        <f>IFERROR(_xlfn.XLOOKUP(B138,会员档案!$A:$A,会员档案!$F:$F),"")</f>
        <v/>
      </c>
      <c r="I138" s="31">
        <f>IF(B138="","",IFERROR(VLOOKUP(B138,会员档案!$A:$Q,17,FALSE),""))</f>
        <v/>
      </c>
      <c r="J138" s="11">
        <f>IF(B138="","",IF(OR(H138="次卡",H138="期限卡"),"是","否"))</f>
        <v/>
      </c>
      <c r="K138" s="31">
        <f>IF(J138="是",1,0)</f>
        <v/>
      </c>
    </row>
    <row r="139">
      <c r="C139" s="31">
        <f>IFERROR(_xlfn.XLOOKUP(B139,会员档案!$A:$A,会员档案!$B:$B),"")</f>
        <v/>
      </c>
      <c r="F139" s="31">
        <f>IFERROR(_xlfn.XLOOKUP(B139,会员档案!$A:$A,会员档案!$D:$D),"")</f>
        <v/>
      </c>
      <c r="G139" s="31">
        <f>IFERROR(_xlfn.XLOOKUP(B139,会员档案!$A:$A,会员档案!$E:$E),"")</f>
        <v/>
      </c>
      <c r="H139" s="31">
        <f>IFERROR(_xlfn.XLOOKUP(B139,会员档案!$A:$A,会员档案!$F:$F),"")</f>
        <v/>
      </c>
      <c r="I139" s="31">
        <f>IF(B139="","",IFERROR(VLOOKUP(B139,会员档案!$A:$Q,17,FALSE),""))</f>
        <v/>
      </c>
      <c r="J139" s="11">
        <f>IF(B139="","",IF(OR(H139="次卡",H139="期限卡"),"是","否"))</f>
        <v/>
      </c>
      <c r="K139" s="31">
        <f>IF(J139="是",1,0)</f>
        <v/>
      </c>
    </row>
    <row r="140">
      <c r="C140" s="31">
        <f>IFERROR(_xlfn.XLOOKUP(B140,会员档案!$A:$A,会员档案!$B:$B),"")</f>
        <v/>
      </c>
      <c r="F140" s="31">
        <f>IFERROR(_xlfn.XLOOKUP(B140,会员档案!$A:$A,会员档案!$D:$D),"")</f>
        <v/>
      </c>
      <c r="G140" s="31">
        <f>IFERROR(_xlfn.XLOOKUP(B140,会员档案!$A:$A,会员档案!$E:$E),"")</f>
        <v/>
      </c>
      <c r="H140" s="31">
        <f>IFERROR(_xlfn.XLOOKUP(B140,会员档案!$A:$A,会员档案!$F:$F),"")</f>
        <v/>
      </c>
      <c r="I140" s="31">
        <f>IF(B140="","",IFERROR(VLOOKUP(B140,会员档案!$A:$Q,17,FALSE),""))</f>
        <v/>
      </c>
      <c r="J140" s="11">
        <f>IF(B140="","",IF(OR(H140="次卡",H140="期限卡"),"是","否"))</f>
        <v/>
      </c>
      <c r="K140" s="31">
        <f>IF(J140="是",1,0)</f>
        <v/>
      </c>
    </row>
    <row r="141">
      <c r="C141" s="31">
        <f>IFERROR(_xlfn.XLOOKUP(B141,会员档案!$A:$A,会员档案!$B:$B),"")</f>
        <v/>
      </c>
      <c r="F141" s="31">
        <f>IFERROR(_xlfn.XLOOKUP(B141,会员档案!$A:$A,会员档案!$D:$D),"")</f>
        <v/>
      </c>
      <c r="G141" s="31">
        <f>IFERROR(_xlfn.XLOOKUP(B141,会员档案!$A:$A,会员档案!$E:$E),"")</f>
        <v/>
      </c>
      <c r="H141" s="31">
        <f>IFERROR(_xlfn.XLOOKUP(B141,会员档案!$A:$A,会员档案!$F:$F),"")</f>
        <v/>
      </c>
      <c r="I141" s="31">
        <f>IF(B141="","",IFERROR(VLOOKUP(B141,会员档案!$A:$Q,17,FALSE),""))</f>
        <v/>
      </c>
      <c r="J141" s="11">
        <f>IF(B141="","",IF(OR(H141="次卡",H141="期限卡"),"是","否"))</f>
        <v/>
      </c>
      <c r="K141" s="31">
        <f>IF(J141="是",1,0)</f>
        <v/>
      </c>
    </row>
    <row r="142">
      <c r="C142" s="31">
        <f>IFERROR(_xlfn.XLOOKUP(B142,会员档案!$A:$A,会员档案!$B:$B),"")</f>
        <v/>
      </c>
      <c r="F142" s="31">
        <f>IFERROR(_xlfn.XLOOKUP(B142,会员档案!$A:$A,会员档案!$D:$D),"")</f>
        <v/>
      </c>
      <c r="G142" s="31">
        <f>IFERROR(_xlfn.XLOOKUP(B142,会员档案!$A:$A,会员档案!$E:$E),"")</f>
        <v/>
      </c>
      <c r="H142" s="31">
        <f>IFERROR(_xlfn.XLOOKUP(B142,会员档案!$A:$A,会员档案!$F:$F),"")</f>
        <v/>
      </c>
      <c r="I142" s="31">
        <f>IF(B142="","",IFERROR(VLOOKUP(B142,会员档案!$A:$Q,17,FALSE),""))</f>
        <v/>
      </c>
      <c r="J142" s="11">
        <f>IF(B142="","",IF(OR(H142="次卡",H142="期限卡"),"是","否"))</f>
        <v/>
      </c>
      <c r="K142" s="31">
        <f>IF(J142="是",1,0)</f>
        <v/>
      </c>
    </row>
    <row r="143">
      <c r="C143" s="31">
        <f>IFERROR(_xlfn.XLOOKUP(B143,会员档案!$A:$A,会员档案!$B:$B),"")</f>
        <v/>
      </c>
      <c r="F143" s="31">
        <f>IFERROR(_xlfn.XLOOKUP(B143,会员档案!$A:$A,会员档案!$D:$D),"")</f>
        <v/>
      </c>
      <c r="G143" s="31">
        <f>IFERROR(_xlfn.XLOOKUP(B143,会员档案!$A:$A,会员档案!$E:$E),"")</f>
        <v/>
      </c>
      <c r="H143" s="31">
        <f>IFERROR(_xlfn.XLOOKUP(B143,会员档案!$A:$A,会员档案!$F:$F),"")</f>
        <v/>
      </c>
      <c r="I143" s="31">
        <f>IF(B143="","",IFERROR(VLOOKUP(B143,会员档案!$A:$Q,17,FALSE),""))</f>
        <v/>
      </c>
      <c r="J143" s="11">
        <f>IF(B143="","",IF(OR(H143="次卡",H143="期限卡"),"是","否"))</f>
        <v/>
      </c>
      <c r="K143" s="31">
        <f>IF(J143="是",1,0)</f>
        <v/>
      </c>
    </row>
    <row r="144">
      <c r="C144" s="31">
        <f>IFERROR(_xlfn.XLOOKUP(B144,会员档案!$A:$A,会员档案!$B:$B),"")</f>
        <v/>
      </c>
      <c r="F144" s="31">
        <f>IFERROR(_xlfn.XLOOKUP(B144,会员档案!$A:$A,会员档案!$D:$D),"")</f>
        <v/>
      </c>
      <c r="G144" s="31">
        <f>IFERROR(_xlfn.XLOOKUP(B144,会员档案!$A:$A,会员档案!$E:$E),"")</f>
        <v/>
      </c>
      <c r="H144" s="31">
        <f>IFERROR(_xlfn.XLOOKUP(B144,会员档案!$A:$A,会员档案!$F:$F),"")</f>
        <v/>
      </c>
      <c r="I144" s="31">
        <f>IF(B144="","",IFERROR(VLOOKUP(B144,会员档案!$A:$Q,17,FALSE),""))</f>
        <v/>
      </c>
      <c r="J144" s="11">
        <f>IF(B144="","",IF(OR(H144="次卡",H144="期限卡"),"是","否"))</f>
        <v/>
      </c>
      <c r="K144" s="31">
        <f>IF(J144="是",1,0)</f>
        <v/>
      </c>
    </row>
    <row r="145">
      <c r="C145" s="31">
        <f>IFERROR(_xlfn.XLOOKUP(B145,会员档案!$A:$A,会员档案!$B:$B),"")</f>
        <v/>
      </c>
      <c r="F145" s="31">
        <f>IFERROR(_xlfn.XLOOKUP(B145,会员档案!$A:$A,会员档案!$D:$D),"")</f>
        <v/>
      </c>
      <c r="G145" s="31">
        <f>IFERROR(_xlfn.XLOOKUP(B145,会员档案!$A:$A,会员档案!$E:$E),"")</f>
        <v/>
      </c>
      <c r="H145" s="31">
        <f>IFERROR(_xlfn.XLOOKUP(B145,会员档案!$A:$A,会员档案!$F:$F),"")</f>
        <v/>
      </c>
      <c r="I145" s="31">
        <f>IF(B145="","",IFERROR(VLOOKUP(B145,会员档案!$A:$Q,17,FALSE),""))</f>
        <v/>
      </c>
      <c r="J145" s="11">
        <f>IF(B145="","",IF(OR(H145="次卡",H145="期限卡"),"是","否"))</f>
        <v/>
      </c>
      <c r="K145" s="31">
        <f>IF(J145="是",1,0)</f>
        <v/>
      </c>
    </row>
    <row r="146">
      <c r="C146" s="31">
        <f>IFERROR(_xlfn.XLOOKUP(B146,会员档案!$A:$A,会员档案!$B:$B),"")</f>
        <v/>
      </c>
      <c r="F146" s="31">
        <f>IFERROR(_xlfn.XLOOKUP(B146,会员档案!$A:$A,会员档案!$D:$D),"")</f>
        <v/>
      </c>
      <c r="G146" s="31">
        <f>IFERROR(_xlfn.XLOOKUP(B146,会员档案!$A:$A,会员档案!$E:$E),"")</f>
        <v/>
      </c>
      <c r="H146" s="31">
        <f>IFERROR(_xlfn.XLOOKUP(B146,会员档案!$A:$A,会员档案!$F:$F),"")</f>
        <v/>
      </c>
      <c r="I146" s="31">
        <f>IF(B146="","",IFERROR(VLOOKUP(B146,会员档案!$A:$Q,17,FALSE),""))</f>
        <v/>
      </c>
      <c r="J146" s="11">
        <f>IF(B146="","",IF(OR(H146="次卡",H146="期限卡"),"是","否"))</f>
        <v/>
      </c>
      <c r="K146" s="31">
        <f>IF(J146="是",1,0)</f>
        <v/>
      </c>
    </row>
    <row r="147">
      <c r="C147" s="31">
        <f>IFERROR(_xlfn.XLOOKUP(B147,会员档案!$A:$A,会员档案!$B:$B),"")</f>
        <v/>
      </c>
      <c r="F147" s="31">
        <f>IFERROR(_xlfn.XLOOKUP(B147,会员档案!$A:$A,会员档案!$D:$D),"")</f>
        <v/>
      </c>
      <c r="G147" s="31">
        <f>IFERROR(_xlfn.XLOOKUP(B147,会员档案!$A:$A,会员档案!$E:$E),"")</f>
        <v/>
      </c>
      <c r="H147" s="31">
        <f>IFERROR(_xlfn.XLOOKUP(B147,会员档案!$A:$A,会员档案!$F:$F),"")</f>
        <v/>
      </c>
      <c r="I147" s="31">
        <f>IF(B147="","",IFERROR(VLOOKUP(B147,会员档案!$A:$Q,17,FALSE),""))</f>
        <v/>
      </c>
      <c r="J147" s="11">
        <f>IF(B147="","",IF(OR(H147="次卡",H147="期限卡"),"是","否"))</f>
        <v/>
      </c>
      <c r="K147" s="31">
        <f>IF(J147="是",1,0)</f>
        <v/>
      </c>
    </row>
    <row r="148">
      <c r="C148" s="31">
        <f>IFERROR(_xlfn.XLOOKUP(B148,会员档案!$A:$A,会员档案!$B:$B),"")</f>
        <v/>
      </c>
      <c r="F148" s="31">
        <f>IFERROR(_xlfn.XLOOKUP(B148,会员档案!$A:$A,会员档案!$D:$D),"")</f>
        <v/>
      </c>
      <c r="G148" s="31">
        <f>IFERROR(_xlfn.XLOOKUP(B148,会员档案!$A:$A,会员档案!$E:$E),"")</f>
        <v/>
      </c>
      <c r="H148" s="31">
        <f>IFERROR(_xlfn.XLOOKUP(B148,会员档案!$A:$A,会员档案!$F:$F),"")</f>
        <v/>
      </c>
      <c r="I148" s="31">
        <f>IF(B148="","",IFERROR(VLOOKUP(B148,会员档案!$A:$Q,17,FALSE),""))</f>
        <v/>
      </c>
      <c r="J148" s="11">
        <f>IF(B148="","",IF(OR(H148="次卡",H148="期限卡"),"是","否"))</f>
        <v/>
      </c>
      <c r="K148" s="31">
        <f>IF(J148="是",1,0)</f>
        <v/>
      </c>
    </row>
    <row r="149">
      <c r="C149" s="31">
        <f>IFERROR(_xlfn.XLOOKUP(B149,会员档案!$A:$A,会员档案!$B:$B),"")</f>
        <v/>
      </c>
      <c r="F149" s="31">
        <f>IFERROR(_xlfn.XLOOKUP(B149,会员档案!$A:$A,会员档案!$D:$D),"")</f>
        <v/>
      </c>
      <c r="G149" s="31">
        <f>IFERROR(_xlfn.XLOOKUP(B149,会员档案!$A:$A,会员档案!$E:$E),"")</f>
        <v/>
      </c>
      <c r="H149" s="31">
        <f>IFERROR(_xlfn.XLOOKUP(B149,会员档案!$A:$A,会员档案!$F:$F),"")</f>
        <v/>
      </c>
      <c r="I149" s="31">
        <f>IF(B149="","",IFERROR(VLOOKUP(B149,会员档案!$A:$Q,17,FALSE),""))</f>
        <v/>
      </c>
      <c r="J149" s="11">
        <f>IF(B149="","",IF(OR(H149="次卡",H149="期限卡"),"是","否"))</f>
        <v/>
      </c>
      <c r="K149" s="31">
        <f>IF(J149="是",1,0)</f>
        <v/>
      </c>
    </row>
    <row r="150">
      <c r="C150" s="31">
        <f>IFERROR(_xlfn.XLOOKUP(B150,会员档案!$A:$A,会员档案!$B:$B),"")</f>
        <v/>
      </c>
      <c r="F150" s="31">
        <f>IFERROR(_xlfn.XLOOKUP(B150,会员档案!$A:$A,会员档案!$D:$D),"")</f>
        <v/>
      </c>
      <c r="G150" s="31">
        <f>IFERROR(_xlfn.XLOOKUP(B150,会员档案!$A:$A,会员档案!$E:$E),"")</f>
        <v/>
      </c>
      <c r="H150" s="31">
        <f>IFERROR(_xlfn.XLOOKUP(B150,会员档案!$A:$A,会员档案!$F:$F),"")</f>
        <v/>
      </c>
      <c r="I150" s="31">
        <f>IF(B150="","",IFERROR(VLOOKUP(B150,会员档案!$A:$Q,17,FALSE),""))</f>
        <v/>
      </c>
      <c r="J150" s="11">
        <f>IF(B150="","",IF(OR(H150="次卡",H150="期限卡"),"是","否"))</f>
        <v/>
      </c>
      <c r="K150" s="31">
        <f>IF(J150="是",1,0)</f>
        <v/>
      </c>
    </row>
    <row r="151">
      <c r="C151" s="31">
        <f>IFERROR(_xlfn.XLOOKUP(B151,会员档案!$A:$A,会员档案!$B:$B),"")</f>
        <v/>
      </c>
      <c r="F151" s="31">
        <f>IFERROR(_xlfn.XLOOKUP(B151,会员档案!$A:$A,会员档案!$D:$D),"")</f>
        <v/>
      </c>
      <c r="G151" s="31">
        <f>IFERROR(_xlfn.XLOOKUP(B151,会员档案!$A:$A,会员档案!$E:$E),"")</f>
        <v/>
      </c>
      <c r="H151" s="31">
        <f>IFERROR(_xlfn.XLOOKUP(B151,会员档案!$A:$A,会员档案!$F:$F),"")</f>
        <v/>
      </c>
      <c r="I151" s="31">
        <f>IF(B151="","",IFERROR(VLOOKUP(B151,会员档案!$A:$Q,17,FALSE),""))</f>
        <v/>
      </c>
      <c r="J151" s="11">
        <f>IF(B151="","",IF(OR(H151="次卡",H151="期限卡"),"是","否"))</f>
        <v/>
      </c>
      <c r="K151" s="31">
        <f>IF(J151="是",1,0)</f>
        <v/>
      </c>
    </row>
    <row r="152">
      <c r="C152" s="31">
        <f>IFERROR(_xlfn.XLOOKUP(B152,会员档案!$A:$A,会员档案!$B:$B),"")</f>
        <v/>
      </c>
      <c r="F152" s="31">
        <f>IFERROR(_xlfn.XLOOKUP(B152,会员档案!$A:$A,会员档案!$D:$D),"")</f>
        <v/>
      </c>
      <c r="G152" s="31">
        <f>IFERROR(_xlfn.XLOOKUP(B152,会员档案!$A:$A,会员档案!$E:$E),"")</f>
        <v/>
      </c>
      <c r="H152" s="31">
        <f>IFERROR(_xlfn.XLOOKUP(B152,会员档案!$A:$A,会员档案!$F:$F),"")</f>
        <v/>
      </c>
      <c r="I152" s="31">
        <f>IF(B152="","",IFERROR(VLOOKUP(B152,会员档案!$A:$Q,17,FALSE),""))</f>
        <v/>
      </c>
      <c r="J152" s="11">
        <f>IF(B152="","",IF(OR(H152="次卡",H152="期限卡"),"是","否"))</f>
        <v/>
      </c>
      <c r="K152" s="31">
        <f>IF(J152="是",1,0)</f>
        <v/>
      </c>
    </row>
    <row r="153">
      <c r="C153" s="31">
        <f>IFERROR(_xlfn.XLOOKUP(B153,会员档案!$A:$A,会员档案!$B:$B),"")</f>
        <v/>
      </c>
      <c r="F153" s="31">
        <f>IFERROR(_xlfn.XLOOKUP(B153,会员档案!$A:$A,会员档案!$D:$D),"")</f>
        <v/>
      </c>
      <c r="G153" s="31">
        <f>IFERROR(_xlfn.XLOOKUP(B153,会员档案!$A:$A,会员档案!$E:$E),"")</f>
        <v/>
      </c>
      <c r="H153" s="31">
        <f>IFERROR(_xlfn.XLOOKUP(B153,会员档案!$A:$A,会员档案!$F:$F),"")</f>
        <v/>
      </c>
      <c r="I153" s="31">
        <f>IF(B153="","",IFERROR(VLOOKUP(B153,会员档案!$A:$Q,17,FALSE),""))</f>
        <v/>
      </c>
      <c r="J153" s="11">
        <f>IF(B153="","",IF(OR(H153="次卡",H153="期限卡"),"是","否"))</f>
        <v/>
      </c>
      <c r="K153" s="31">
        <f>IF(J153="是",1,0)</f>
        <v/>
      </c>
    </row>
    <row r="154">
      <c r="C154" s="31">
        <f>IFERROR(_xlfn.XLOOKUP(B154,会员档案!$A:$A,会员档案!$B:$B),"")</f>
        <v/>
      </c>
      <c r="F154" s="31">
        <f>IFERROR(_xlfn.XLOOKUP(B154,会员档案!$A:$A,会员档案!$D:$D),"")</f>
        <v/>
      </c>
      <c r="G154" s="31">
        <f>IFERROR(_xlfn.XLOOKUP(B154,会员档案!$A:$A,会员档案!$E:$E),"")</f>
        <v/>
      </c>
      <c r="H154" s="31">
        <f>IFERROR(_xlfn.XLOOKUP(B154,会员档案!$A:$A,会员档案!$F:$F),"")</f>
        <v/>
      </c>
      <c r="I154" s="31">
        <f>IF(B154="","",IFERROR(VLOOKUP(B154,会员档案!$A:$Q,17,FALSE),""))</f>
        <v/>
      </c>
      <c r="J154" s="11">
        <f>IF(B154="","",IF(OR(H154="次卡",H154="期限卡"),"是","否"))</f>
        <v/>
      </c>
      <c r="K154" s="31">
        <f>IF(J154="是",1,0)</f>
        <v/>
      </c>
    </row>
    <row r="155">
      <c r="C155" s="31">
        <f>IFERROR(_xlfn.XLOOKUP(B155,会员档案!$A:$A,会员档案!$B:$B),"")</f>
        <v/>
      </c>
      <c r="F155" s="31">
        <f>IFERROR(_xlfn.XLOOKUP(B155,会员档案!$A:$A,会员档案!$D:$D),"")</f>
        <v/>
      </c>
      <c r="G155" s="31">
        <f>IFERROR(_xlfn.XLOOKUP(B155,会员档案!$A:$A,会员档案!$E:$E),"")</f>
        <v/>
      </c>
      <c r="H155" s="31">
        <f>IFERROR(_xlfn.XLOOKUP(B155,会员档案!$A:$A,会员档案!$F:$F),"")</f>
        <v/>
      </c>
      <c r="I155" s="31">
        <f>IF(B155="","",IFERROR(VLOOKUP(B155,会员档案!$A:$Q,17,FALSE),""))</f>
        <v/>
      </c>
      <c r="J155" s="11">
        <f>IF(B155="","",IF(OR(H155="次卡",H155="期限卡"),"是","否"))</f>
        <v/>
      </c>
      <c r="K155" s="31">
        <f>IF(J155="是",1,0)</f>
        <v/>
      </c>
    </row>
    <row r="156">
      <c r="C156" s="31">
        <f>IFERROR(_xlfn.XLOOKUP(B156,会员档案!$A:$A,会员档案!$B:$B),"")</f>
        <v/>
      </c>
      <c r="F156" s="31">
        <f>IFERROR(_xlfn.XLOOKUP(B156,会员档案!$A:$A,会员档案!$D:$D),"")</f>
        <v/>
      </c>
      <c r="G156" s="31">
        <f>IFERROR(_xlfn.XLOOKUP(B156,会员档案!$A:$A,会员档案!$E:$E),"")</f>
        <v/>
      </c>
      <c r="H156" s="31">
        <f>IFERROR(_xlfn.XLOOKUP(B156,会员档案!$A:$A,会员档案!$F:$F),"")</f>
        <v/>
      </c>
      <c r="I156" s="31">
        <f>IF(B156="","",IFERROR(VLOOKUP(B156,会员档案!$A:$Q,17,FALSE),""))</f>
        <v/>
      </c>
      <c r="J156" s="11">
        <f>IF(B156="","",IF(OR(H156="次卡",H156="期限卡"),"是","否"))</f>
        <v/>
      </c>
      <c r="K156" s="31">
        <f>IF(J156="是",1,0)</f>
        <v/>
      </c>
    </row>
    <row r="157">
      <c r="C157" s="31">
        <f>IFERROR(_xlfn.XLOOKUP(B157,会员档案!$A:$A,会员档案!$B:$B),"")</f>
        <v/>
      </c>
      <c r="F157" s="31">
        <f>IFERROR(_xlfn.XLOOKUP(B157,会员档案!$A:$A,会员档案!$D:$D),"")</f>
        <v/>
      </c>
      <c r="G157" s="31">
        <f>IFERROR(_xlfn.XLOOKUP(B157,会员档案!$A:$A,会员档案!$E:$E),"")</f>
        <v/>
      </c>
      <c r="H157" s="31">
        <f>IFERROR(_xlfn.XLOOKUP(B157,会员档案!$A:$A,会员档案!$F:$F),"")</f>
        <v/>
      </c>
      <c r="I157" s="31">
        <f>IF(B157="","",IFERROR(VLOOKUP(B157,会员档案!$A:$Q,17,FALSE),""))</f>
        <v/>
      </c>
      <c r="J157" s="11">
        <f>IF(B157="","",IF(OR(H157="次卡",H157="期限卡"),"是","否"))</f>
        <v/>
      </c>
      <c r="K157" s="31">
        <f>IF(J157="是",1,0)</f>
        <v/>
      </c>
    </row>
    <row r="158">
      <c r="C158" s="31">
        <f>IFERROR(_xlfn.XLOOKUP(B158,会员档案!$A:$A,会员档案!$B:$B),"")</f>
        <v/>
      </c>
      <c r="F158" s="31">
        <f>IFERROR(_xlfn.XLOOKUP(B158,会员档案!$A:$A,会员档案!$D:$D),"")</f>
        <v/>
      </c>
      <c r="G158" s="31">
        <f>IFERROR(_xlfn.XLOOKUP(B158,会员档案!$A:$A,会员档案!$E:$E),"")</f>
        <v/>
      </c>
      <c r="H158" s="31">
        <f>IFERROR(_xlfn.XLOOKUP(B158,会员档案!$A:$A,会员档案!$F:$F),"")</f>
        <v/>
      </c>
      <c r="I158" s="31">
        <f>IF(B158="","",IFERROR(VLOOKUP(B158,会员档案!$A:$Q,17,FALSE),""))</f>
        <v/>
      </c>
      <c r="J158" s="11">
        <f>IF(B158="","",IF(OR(H158="次卡",H158="期限卡"),"是","否"))</f>
        <v/>
      </c>
      <c r="K158" s="31">
        <f>IF(J158="是",1,0)</f>
        <v/>
      </c>
    </row>
    <row r="159">
      <c r="C159" s="31">
        <f>IFERROR(_xlfn.XLOOKUP(B159,会员档案!$A:$A,会员档案!$B:$B),"")</f>
        <v/>
      </c>
      <c r="F159" s="31">
        <f>IFERROR(_xlfn.XLOOKUP(B159,会员档案!$A:$A,会员档案!$D:$D),"")</f>
        <v/>
      </c>
      <c r="G159" s="31">
        <f>IFERROR(_xlfn.XLOOKUP(B159,会员档案!$A:$A,会员档案!$E:$E),"")</f>
        <v/>
      </c>
      <c r="H159" s="31">
        <f>IFERROR(_xlfn.XLOOKUP(B159,会员档案!$A:$A,会员档案!$F:$F),"")</f>
        <v/>
      </c>
      <c r="I159" s="31">
        <f>IF(B159="","",IFERROR(VLOOKUP(B159,会员档案!$A:$Q,17,FALSE),""))</f>
        <v/>
      </c>
      <c r="J159" s="11">
        <f>IF(B159="","",IF(OR(H159="次卡",H159="期限卡"),"是","否"))</f>
        <v/>
      </c>
      <c r="K159" s="31">
        <f>IF(J159="是",1,0)</f>
        <v/>
      </c>
    </row>
    <row r="160">
      <c r="C160" s="31">
        <f>IFERROR(_xlfn.XLOOKUP(B160,会员档案!$A:$A,会员档案!$B:$B),"")</f>
        <v/>
      </c>
      <c r="F160" s="31">
        <f>IFERROR(_xlfn.XLOOKUP(B160,会员档案!$A:$A,会员档案!$D:$D),"")</f>
        <v/>
      </c>
      <c r="G160" s="31">
        <f>IFERROR(_xlfn.XLOOKUP(B160,会员档案!$A:$A,会员档案!$E:$E),"")</f>
        <v/>
      </c>
      <c r="H160" s="31">
        <f>IFERROR(_xlfn.XLOOKUP(B160,会员档案!$A:$A,会员档案!$F:$F),"")</f>
        <v/>
      </c>
      <c r="I160" s="31">
        <f>IF(B160="","",IFERROR(VLOOKUP(B160,会员档案!$A:$Q,17,FALSE),""))</f>
        <v/>
      </c>
      <c r="J160" s="11">
        <f>IF(B160="","",IF(OR(H160="次卡",H160="期限卡"),"是","否"))</f>
        <v/>
      </c>
      <c r="K160" s="31">
        <f>IF(J160="是",1,0)</f>
        <v/>
      </c>
    </row>
    <row r="161">
      <c r="C161" s="31">
        <f>IFERROR(_xlfn.XLOOKUP(B161,会员档案!$A:$A,会员档案!$B:$B),"")</f>
        <v/>
      </c>
      <c r="F161" s="31">
        <f>IFERROR(_xlfn.XLOOKUP(B161,会员档案!$A:$A,会员档案!$D:$D),"")</f>
        <v/>
      </c>
      <c r="G161" s="31">
        <f>IFERROR(_xlfn.XLOOKUP(B161,会员档案!$A:$A,会员档案!$E:$E),"")</f>
        <v/>
      </c>
      <c r="H161" s="31">
        <f>IFERROR(_xlfn.XLOOKUP(B161,会员档案!$A:$A,会员档案!$F:$F),"")</f>
        <v/>
      </c>
      <c r="I161" s="31">
        <f>IF(B161="","",IFERROR(VLOOKUP(B161,会员档案!$A:$Q,17,FALSE),""))</f>
        <v/>
      </c>
      <c r="J161" s="11">
        <f>IF(B161="","",IF(OR(H161="次卡",H161="期限卡"),"是","否"))</f>
        <v/>
      </c>
      <c r="K161" s="31">
        <f>IF(J161="是",1,0)</f>
        <v/>
      </c>
    </row>
    <row r="162">
      <c r="C162" s="31">
        <f>IFERROR(_xlfn.XLOOKUP(B162,会员档案!$A:$A,会员档案!$B:$B),"")</f>
        <v/>
      </c>
      <c r="F162" s="31">
        <f>IFERROR(_xlfn.XLOOKUP(B162,会员档案!$A:$A,会员档案!$D:$D),"")</f>
        <v/>
      </c>
      <c r="G162" s="31">
        <f>IFERROR(_xlfn.XLOOKUP(B162,会员档案!$A:$A,会员档案!$E:$E),"")</f>
        <v/>
      </c>
      <c r="H162" s="31">
        <f>IFERROR(_xlfn.XLOOKUP(B162,会员档案!$A:$A,会员档案!$F:$F),"")</f>
        <v/>
      </c>
      <c r="I162" s="31">
        <f>IF(B162="","",IFERROR(VLOOKUP(B162,会员档案!$A:$Q,17,FALSE),""))</f>
        <v/>
      </c>
      <c r="J162" s="11">
        <f>IF(B162="","",IF(OR(H162="次卡",H162="期限卡"),"是","否"))</f>
        <v/>
      </c>
      <c r="K162" s="31">
        <f>IF(J162="是",1,0)</f>
        <v/>
      </c>
    </row>
    <row r="163">
      <c r="C163" s="31">
        <f>IFERROR(_xlfn.XLOOKUP(B163,会员档案!$A:$A,会员档案!$B:$B),"")</f>
        <v/>
      </c>
      <c r="F163" s="31">
        <f>IFERROR(_xlfn.XLOOKUP(B163,会员档案!$A:$A,会员档案!$D:$D),"")</f>
        <v/>
      </c>
      <c r="G163" s="31">
        <f>IFERROR(_xlfn.XLOOKUP(B163,会员档案!$A:$A,会员档案!$E:$E),"")</f>
        <v/>
      </c>
      <c r="H163" s="31">
        <f>IFERROR(_xlfn.XLOOKUP(B163,会员档案!$A:$A,会员档案!$F:$F),"")</f>
        <v/>
      </c>
      <c r="I163" s="31">
        <f>IF(B163="","",IFERROR(VLOOKUP(B163,会员档案!$A:$Q,17,FALSE),""))</f>
        <v/>
      </c>
      <c r="J163" s="11">
        <f>IF(B163="","",IF(OR(H163="次卡",H163="期限卡"),"是","否"))</f>
        <v/>
      </c>
      <c r="K163" s="31">
        <f>IF(J163="是",1,0)</f>
        <v/>
      </c>
    </row>
    <row r="164">
      <c r="C164" s="31">
        <f>IFERROR(_xlfn.XLOOKUP(B164,会员档案!$A:$A,会员档案!$B:$B),"")</f>
        <v/>
      </c>
      <c r="F164" s="31">
        <f>IFERROR(_xlfn.XLOOKUP(B164,会员档案!$A:$A,会员档案!$D:$D),"")</f>
        <v/>
      </c>
      <c r="G164" s="31">
        <f>IFERROR(_xlfn.XLOOKUP(B164,会员档案!$A:$A,会员档案!$E:$E),"")</f>
        <v/>
      </c>
      <c r="H164" s="31">
        <f>IFERROR(_xlfn.XLOOKUP(B164,会员档案!$A:$A,会员档案!$F:$F),"")</f>
        <v/>
      </c>
      <c r="I164" s="31">
        <f>IF(B164="","",IFERROR(VLOOKUP(B164,会员档案!$A:$Q,17,FALSE),""))</f>
        <v/>
      </c>
      <c r="J164" s="11">
        <f>IF(B164="","",IF(OR(H164="次卡",H164="期限卡"),"是","否"))</f>
        <v/>
      </c>
      <c r="K164" s="31">
        <f>IF(J164="是",1,0)</f>
        <v/>
      </c>
    </row>
    <row r="165">
      <c r="C165" s="31">
        <f>IFERROR(_xlfn.XLOOKUP(B165,会员档案!$A:$A,会员档案!$B:$B),"")</f>
        <v/>
      </c>
      <c r="F165" s="31">
        <f>IFERROR(_xlfn.XLOOKUP(B165,会员档案!$A:$A,会员档案!$D:$D),"")</f>
        <v/>
      </c>
      <c r="G165" s="31">
        <f>IFERROR(_xlfn.XLOOKUP(B165,会员档案!$A:$A,会员档案!$E:$E),"")</f>
        <v/>
      </c>
      <c r="H165" s="31">
        <f>IFERROR(_xlfn.XLOOKUP(B165,会员档案!$A:$A,会员档案!$F:$F),"")</f>
        <v/>
      </c>
      <c r="I165" s="31">
        <f>IF(B165="","",IFERROR(VLOOKUP(B165,会员档案!$A:$Q,17,FALSE),""))</f>
        <v/>
      </c>
      <c r="J165" s="11">
        <f>IF(B165="","",IF(OR(H165="次卡",H165="期限卡"),"是","否"))</f>
        <v/>
      </c>
      <c r="K165" s="31">
        <f>IF(J165="是",1,0)</f>
        <v/>
      </c>
    </row>
    <row r="166">
      <c r="C166" s="31">
        <f>IFERROR(_xlfn.XLOOKUP(B166,会员档案!$A:$A,会员档案!$B:$B),"")</f>
        <v/>
      </c>
      <c r="F166" s="31">
        <f>IFERROR(_xlfn.XLOOKUP(B166,会员档案!$A:$A,会员档案!$D:$D),"")</f>
        <v/>
      </c>
      <c r="G166" s="31">
        <f>IFERROR(_xlfn.XLOOKUP(B166,会员档案!$A:$A,会员档案!$E:$E),"")</f>
        <v/>
      </c>
      <c r="H166" s="31">
        <f>IFERROR(_xlfn.XLOOKUP(B166,会员档案!$A:$A,会员档案!$F:$F),"")</f>
        <v/>
      </c>
      <c r="I166" s="31">
        <f>IF(B166="","",IFERROR(VLOOKUP(B166,会员档案!$A:$Q,17,FALSE),""))</f>
        <v/>
      </c>
      <c r="J166" s="11">
        <f>IF(B166="","",IF(OR(H166="次卡",H166="期限卡"),"是","否"))</f>
        <v/>
      </c>
      <c r="K166" s="31">
        <f>IF(J166="是",1,0)</f>
        <v/>
      </c>
    </row>
    <row r="167">
      <c r="C167" s="31">
        <f>IFERROR(_xlfn.XLOOKUP(B167,会员档案!$A:$A,会员档案!$B:$B),"")</f>
        <v/>
      </c>
      <c r="F167" s="31">
        <f>IFERROR(_xlfn.XLOOKUP(B167,会员档案!$A:$A,会员档案!$D:$D),"")</f>
        <v/>
      </c>
      <c r="G167" s="31">
        <f>IFERROR(_xlfn.XLOOKUP(B167,会员档案!$A:$A,会员档案!$E:$E),"")</f>
        <v/>
      </c>
      <c r="H167" s="31">
        <f>IFERROR(_xlfn.XLOOKUP(B167,会员档案!$A:$A,会员档案!$F:$F),"")</f>
        <v/>
      </c>
      <c r="I167" s="31">
        <f>IF(B167="","",IFERROR(VLOOKUP(B167,会员档案!$A:$Q,17,FALSE),""))</f>
        <v/>
      </c>
      <c r="J167" s="11">
        <f>IF(B167="","",IF(OR(H167="次卡",H167="期限卡"),"是","否"))</f>
        <v/>
      </c>
      <c r="K167" s="31">
        <f>IF(J167="是",1,0)</f>
        <v/>
      </c>
    </row>
    <row r="168">
      <c r="C168" s="31">
        <f>IFERROR(_xlfn.XLOOKUP(B168,会员档案!$A:$A,会员档案!$B:$B),"")</f>
        <v/>
      </c>
      <c r="F168" s="31">
        <f>IFERROR(_xlfn.XLOOKUP(B168,会员档案!$A:$A,会员档案!$D:$D),"")</f>
        <v/>
      </c>
      <c r="G168" s="31">
        <f>IFERROR(_xlfn.XLOOKUP(B168,会员档案!$A:$A,会员档案!$E:$E),"")</f>
        <v/>
      </c>
      <c r="H168" s="31">
        <f>IFERROR(_xlfn.XLOOKUP(B168,会员档案!$A:$A,会员档案!$F:$F),"")</f>
        <v/>
      </c>
      <c r="I168" s="31">
        <f>IF(B168="","",IFERROR(VLOOKUP(B168,会员档案!$A:$Q,17,FALSE),""))</f>
        <v/>
      </c>
      <c r="J168" s="11">
        <f>IF(B168="","",IF(OR(H168="次卡",H168="期限卡"),"是","否"))</f>
        <v/>
      </c>
      <c r="K168" s="31">
        <f>IF(J168="是",1,0)</f>
        <v/>
      </c>
    </row>
    <row r="169">
      <c r="C169" s="31">
        <f>IFERROR(_xlfn.XLOOKUP(B169,会员档案!$A:$A,会员档案!$B:$B),"")</f>
        <v/>
      </c>
      <c r="F169" s="31">
        <f>IFERROR(_xlfn.XLOOKUP(B169,会员档案!$A:$A,会员档案!$D:$D),"")</f>
        <v/>
      </c>
      <c r="G169" s="31">
        <f>IFERROR(_xlfn.XLOOKUP(B169,会员档案!$A:$A,会员档案!$E:$E),"")</f>
        <v/>
      </c>
      <c r="H169" s="31">
        <f>IFERROR(_xlfn.XLOOKUP(B169,会员档案!$A:$A,会员档案!$F:$F),"")</f>
        <v/>
      </c>
      <c r="I169" s="31">
        <f>IF(B169="","",IFERROR(VLOOKUP(B169,会员档案!$A:$Q,17,FALSE),""))</f>
        <v/>
      </c>
      <c r="J169" s="11">
        <f>IF(B169="","",IF(OR(H169="次卡",H169="期限卡"),"是","否"))</f>
        <v/>
      </c>
      <c r="K169" s="31">
        <f>IF(J169="是",1,0)</f>
        <v/>
      </c>
    </row>
    <row r="170">
      <c r="C170" s="31">
        <f>IFERROR(_xlfn.XLOOKUP(B170,会员档案!$A:$A,会员档案!$B:$B),"")</f>
        <v/>
      </c>
      <c r="F170" s="31">
        <f>IFERROR(_xlfn.XLOOKUP(B170,会员档案!$A:$A,会员档案!$D:$D),"")</f>
        <v/>
      </c>
      <c r="G170" s="31">
        <f>IFERROR(_xlfn.XLOOKUP(B170,会员档案!$A:$A,会员档案!$E:$E),"")</f>
        <v/>
      </c>
      <c r="H170" s="31">
        <f>IFERROR(_xlfn.XLOOKUP(B170,会员档案!$A:$A,会员档案!$F:$F),"")</f>
        <v/>
      </c>
      <c r="I170" s="31">
        <f>IF(B170="","",IFERROR(VLOOKUP(B170,会员档案!$A:$Q,17,FALSE),""))</f>
        <v/>
      </c>
      <c r="J170" s="11">
        <f>IF(B170="","",IF(OR(H170="次卡",H170="期限卡"),"是","否"))</f>
        <v/>
      </c>
      <c r="K170" s="31">
        <f>IF(J170="是",1,0)</f>
        <v/>
      </c>
    </row>
    <row r="171">
      <c r="C171" s="31">
        <f>IFERROR(_xlfn.XLOOKUP(B171,会员档案!$A:$A,会员档案!$B:$B),"")</f>
        <v/>
      </c>
      <c r="F171" s="31">
        <f>IFERROR(_xlfn.XLOOKUP(B171,会员档案!$A:$A,会员档案!$D:$D),"")</f>
        <v/>
      </c>
      <c r="G171" s="31">
        <f>IFERROR(_xlfn.XLOOKUP(B171,会员档案!$A:$A,会员档案!$E:$E),"")</f>
        <v/>
      </c>
      <c r="H171" s="31">
        <f>IFERROR(_xlfn.XLOOKUP(B171,会员档案!$A:$A,会员档案!$F:$F),"")</f>
        <v/>
      </c>
      <c r="I171" s="31">
        <f>IF(B171="","",IFERROR(VLOOKUP(B171,会员档案!$A:$Q,17,FALSE),""))</f>
        <v/>
      </c>
      <c r="J171" s="11">
        <f>IF(B171="","",IF(OR(H171="次卡",H171="期限卡"),"是","否"))</f>
        <v/>
      </c>
      <c r="K171" s="31">
        <f>IF(J171="是",1,0)</f>
        <v/>
      </c>
    </row>
    <row r="172">
      <c r="C172" s="31">
        <f>IFERROR(_xlfn.XLOOKUP(B172,会员档案!$A:$A,会员档案!$B:$B),"")</f>
        <v/>
      </c>
      <c r="F172" s="31">
        <f>IFERROR(_xlfn.XLOOKUP(B172,会员档案!$A:$A,会员档案!$D:$D),"")</f>
        <v/>
      </c>
      <c r="G172" s="31">
        <f>IFERROR(_xlfn.XLOOKUP(B172,会员档案!$A:$A,会员档案!$E:$E),"")</f>
        <v/>
      </c>
      <c r="H172" s="31">
        <f>IFERROR(_xlfn.XLOOKUP(B172,会员档案!$A:$A,会员档案!$F:$F),"")</f>
        <v/>
      </c>
      <c r="I172" s="31">
        <f>IF(B172="","",IFERROR(VLOOKUP(B172,会员档案!$A:$Q,17,FALSE),""))</f>
        <v/>
      </c>
      <c r="J172" s="11">
        <f>IF(B172="","",IF(OR(H172="次卡",H172="期限卡"),"是","否"))</f>
        <v/>
      </c>
      <c r="K172" s="31">
        <f>IF(J172="是",1,0)</f>
        <v/>
      </c>
    </row>
    <row r="173">
      <c r="C173" s="31">
        <f>IFERROR(_xlfn.XLOOKUP(B173,会员档案!$A:$A,会员档案!$B:$B),"")</f>
        <v/>
      </c>
      <c r="F173" s="31">
        <f>IFERROR(_xlfn.XLOOKUP(B173,会员档案!$A:$A,会员档案!$D:$D),"")</f>
        <v/>
      </c>
      <c r="G173" s="31">
        <f>IFERROR(_xlfn.XLOOKUP(B173,会员档案!$A:$A,会员档案!$E:$E),"")</f>
        <v/>
      </c>
      <c r="H173" s="31">
        <f>IFERROR(_xlfn.XLOOKUP(B173,会员档案!$A:$A,会员档案!$F:$F),"")</f>
        <v/>
      </c>
      <c r="I173" s="31">
        <f>IF(B173="","",IFERROR(VLOOKUP(B173,会员档案!$A:$Q,17,FALSE),""))</f>
        <v/>
      </c>
      <c r="J173" s="11">
        <f>IF(B173="","",IF(OR(H173="次卡",H173="期限卡"),"是","否"))</f>
        <v/>
      </c>
      <c r="K173" s="31">
        <f>IF(J173="是",1,0)</f>
        <v/>
      </c>
    </row>
    <row r="174">
      <c r="C174" s="31">
        <f>IFERROR(_xlfn.XLOOKUP(B174,会员档案!$A:$A,会员档案!$B:$B),"")</f>
        <v/>
      </c>
      <c r="F174" s="31">
        <f>IFERROR(_xlfn.XLOOKUP(B174,会员档案!$A:$A,会员档案!$D:$D),"")</f>
        <v/>
      </c>
      <c r="G174" s="31">
        <f>IFERROR(_xlfn.XLOOKUP(B174,会员档案!$A:$A,会员档案!$E:$E),"")</f>
        <v/>
      </c>
      <c r="H174" s="31">
        <f>IFERROR(_xlfn.XLOOKUP(B174,会员档案!$A:$A,会员档案!$F:$F),"")</f>
        <v/>
      </c>
      <c r="I174" s="31">
        <f>IF(B174="","",IFERROR(VLOOKUP(B174,会员档案!$A:$Q,17,FALSE),""))</f>
        <v/>
      </c>
      <c r="J174" s="11">
        <f>IF(B174="","",IF(OR(H174="次卡",H174="期限卡"),"是","否"))</f>
        <v/>
      </c>
      <c r="K174" s="31">
        <f>IF(J174="是",1,0)</f>
        <v/>
      </c>
    </row>
    <row r="175">
      <c r="C175" s="31">
        <f>IFERROR(_xlfn.XLOOKUP(B175,会员档案!$A:$A,会员档案!$B:$B),"")</f>
        <v/>
      </c>
      <c r="F175" s="31">
        <f>IFERROR(_xlfn.XLOOKUP(B175,会员档案!$A:$A,会员档案!$D:$D),"")</f>
        <v/>
      </c>
      <c r="G175" s="31">
        <f>IFERROR(_xlfn.XLOOKUP(B175,会员档案!$A:$A,会员档案!$E:$E),"")</f>
        <v/>
      </c>
      <c r="H175" s="31">
        <f>IFERROR(_xlfn.XLOOKUP(B175,会员档案!$A:$A,会员档案!$F:$F),"")</f>
        <v/>
      </c>
      <c r="I175" s="31">
        <f>IF(B175="","",IFERROR(VLOOKUP(B175,会员档案!$A:$Q,17,FALSE),""))</f>
        <v/>
      </c>
      <c r="J175" s="11">
        <f>IF(B175="","",IF(OR(H175="次卡",H175="期限卡"),"是","否"))</f>
        <v/>
      </c>
      <c r="K175" s="31">
        <f>IF(J175="是",1,0)</f>
        <v/>
      </c>
    </row>
    <row r="176">
      <c r="C176" s="31">
        <f>IFERROR(_xlfn.XLOOKUP(B176,会员档案!$A:$A,会员档案!$B:$B),"")</f>
        <v/>
      </c>
      <c r="F176" s="31">
        <f>IFERROR(_xlfn.XLOOKUP(B176,会员档案!$A:$A,会员档案!$D:$D),"")</f>
        <v/>
      </c>
      <c r="G176" s="31">
        <f>IFERROR(_xlfn.XLOOKUP(B176,会员档案!$A:$A,会员档案!$E:$E),"")</f>
        <v/>
      </c>
      <c r="H176" s="31">
        <f>IFERROR(_xlfn.XLOOKUP(B176,会员档案!$A:$A,会员档案!$F:$F),"")</f>
        <v/>
      </c>
      <c r="I176" s="31">
        <f>IF(B176="","",IFERROR(VLOOKUP(B176,会员档案!$A:$Q,17,FALSE),""))</f>
        <v/>
      </c>
      <c r="J176" s="11">
        <f>IF(B176="","",IF(OR(H176="次卡",H176="期限卡"),"是","否"))</f>
        <v/>
      </c>
      <c r="K176" s="31">
        <f>IF(J176="是",1,0)</f>
        <v/>
      </c>
    </row>
    <row r="177">
      <c r="C177" s="31">
        <f>IFERROR(_xlfn.XLOOKUP(B177,会员档案!$A:$A,会员档案!$B:$B),"")</f>
        <v/>
      </c>
      <c r="F177" s="31">
        <f>IFERROR(_xlfn.XLOOKUP(B177,会员档案!$A:$A,会员档案!$D:$D),"")</f>
        <v/>
      </c>
      <c r="G177" s="31">
        <f>IFERROR(_xlfn.XLOOKUP(B177,会员档案!$A:$A,会员档案!$E:$E),"")</f>
        <v/>
      </c>
      <c r="H177" s="31">
        <f>IFERROR(_xlfn.XLOOKUP(B177,会员档案!$A:$A,会员档案!$F:$F),"")</f>
        <v/>
      </c>
      <c r="I177" s="31">
        <f>IF(B177="","",IFERROR(VLOOKUP(B177,会员档案!$A:$Q,17,FALSE),""))</f>
        <v/>
      </c>
      <c r="J177" s="11">
        <f>IF(B177="","",IF(OR(H177="次卡",H177="期限卡"),"是","否"))</f>
        <v/>
      </c>
      <c r="K177" s="31">
        <f>IF(J177="是",1,0)</f>
        <v/>
      </c>
    </row>
    <row r="178">
      <c r="C178" s="31">
        <f>IFERROR(_xlfn.XLOOKUP(B178,会员档案!$A:$A,会员档案!$B:$B),"")</f>
        <v/>
      </c>
      <c r="F178" s="31">
        <f>IFERROR(_xlfn.XLOOKUP(B178,会员档案!$A:$A,会员档案!$D:$D),"")</f>
        <v/>
      </c>
      <c r="G178" s="31">
        <f>IFERROR(_xlfn.XLOOKUP(B178,会员档案!$A:$A,会员档案!$E:$E),"")</f>
        <v/>
      </c>
      <c r="H178" s="31">
        <f>IFERROR(_xlfn.XLOOKUP(B178,会员档案!$A:$A,会员档案!$F:$F),"")</f>
        <v/>
      </c>
      <c r="I178" s="31">
        <f>IF(B178="","",IFERROR(VLOOKUP(B178,会员档案!$A:$Q,17,FALSE),""))</f>
        <v/>
      </c>
      <c r="J178" s="11">
        <f>IF(B178="","",IF(OR(H178="次卡",H178="期限卡"),"是","否"))</f>
        <v/>
      </c>
      <c r="K178" s="31">
        <f>IF(J178="是",1,0)</f>
        <v/>
      </c>
    </row>
    <row r="179">
      <c r="C179" s="31">
        <f>IFERROR(_xlfn.XLOOKUP(B179,会员档案!$A:$A,会员档案!$B:$B),"")</f>
        <v/>
      </c>
      <c r="F179" s="31">
        <f>IFERROR(_xlfn.XLOOKUP(B179,会员档案!$A:$A,会员档案!$D:$D),"")</f>
        <v/>
      </c>
      <c r="G179" s="31">
        <f>IFERROR(_xlfn.XLOOKUP(B179,会员档案!$A:$A,会员档案!$E:$E),"")</f>
        <v/>
      </c>
      <c r="H179" s="31">
        <f>IFERROR(_xlfn.XLOOKUP(B179,会员档案!$A:$A,会员档案!$F:$F),"")</f>
        <v/>
      </c>
      <c r="I179" s="31">
        <f>IF(B179="","",IFERROR(VLOOKUP(B179,会员档案!$A:$Q,17,FALSE),""))</f>
        <v/>
      </c>
      <c r="J179" s="11">
        <f>IF(B179="","",IF(OR(H179="次卡",H179="期限卡"),"是","否"))</f>
        <v/>
      </c>
      <c r="K179" s="31">
        <f>IF(J179="是",1,0)</f>
        <v/>
      </c>
    </row>
    <row r="180">
      <c r="C180" s="31">
        <f>IFERROR(_xlfn.XLOOKUP(B180,会员档案!$A:$A,会员档案!$B:$B),"")</f>
        <v/>
      </c>
      <c r="F180" s="31">
        <f>IFERROR(_xlfn.XLOOKUP(B180,会员档案!$A:$A,会员档案!$D:$D),"")</f>
        <v/>
      </c>
      <c r="G180" s="31">
        <f>IFERROR(_xlfn.XLOOKUP(B180,会员档案!$A:$A,会员档案!$E:$E),"")</f>
        <v/>
      </c>
      <c r="H180" s="31">
        <f>IFERROR(_xlfn.XLOOKUP(B180,会员档案!$A:$A,会员档案!$F:$F),"")</f>
        <v/>
      </c>
      <c r="I180" s="31">
        <f>IF(B180="","",IFERROR(VLOOKUP(B180,会员档案!$A:$Q,17,FALSE),""))</f>
        <v/>
      </c>
      <c r="J180" s="11">
        <f>IF(B180="","",IF(OR(H180="次卡",H180="期限卡"),"是","否"))</f>
        <v/>
      </c>
      <c r="K180" s="31">
        <f>IF(J180="是",1,0)</f>
        <v/>
      </c>
    </row>
    <row r="181">
      <c r="C181" s="31">
        <f>IFERROR(_xlfn.XLOOKUP(B181,会员档案!$A:$A,会员档案!$B:$B),"")</f>
        <v/>
      </c>
      <c r="F181" s="31">
        <f>IFERROR(_xlfn.XLOOKUP(B181,会员档案!$A:$A,会员档案!$D:$D),"")</f>
        <v/>
      </c>
      <c r="G181" s="31">
        <f>IFERROR(_xlfn.XLOOKUP(B181,会员档案!$A:$A,会员档案!$E:$E),"")</f>
        <v/>
      </c>
      <c r="H181" s="31">
        <f>IFERROR(_xlfn.XLOOKUP(B181,会员档案!$A:$A,会员档案!$F:$F),"")</f>
        <v/>
      </c>
      <c r="I181" s="31">
        <f>IF(B181="","",IFERROR(VLOOKUP(B181,会员档案!$A:$Q,17,FALSE),""))</f>
        <v/>
      </c>
      <c r="J181" s="11">
        <f>IF(B181="","",IF(OR(H181="次卡",H181="期限卡"),"是","否"))</f>
        <v/>
      </c>
      <c r="K181" s="31">
        <f>IF(J181="是",1,0)</f>
        <v/>
      </c>
    </row>
    <row r="182">
      <c r="C182" s="31">
        <f>IFERROR(_xlfn.XLOOKUP(B182,会员档案!$A:$A,会员档案!$B:$B),"")</f>
        <v/>
      </c>
      <c r="F182" s="31">
        <f>IFERROR(_xlfn.XLOOKUP(B182,会员档案!$A:$A,会员档案!$D:$D),"")</f>
        <v/>
      </c>
      <c r="G182" s="31">
        <f>IFERROR(_xlfn.XLOOKUP(B182,会员档案!$A:$A,会员档案!$E:$E),"")</f>
        <v/>
      </c>
      <c r="H182" s="31">
        <f>IFERROR(_xlfn.XLOOKUP(B182,会员档案!$A:$A,会员档案!$F:$F),"")</f>
        <v/>
      </c>
      <c r="I182" s="31">
        <f>IF(B182="","",IFERROR(VLOOKUP(B182,会员档案!$A:$Q,17,FALSE),""))</f>
        <v/>
      </c>
      <c r="J182" s="11">
        <f>IF(B182="","",IF(OR(H182="次卡",H182="期限卡"),"是","否"))</f>
        <v/>
      </c>
      <c r="K182" s="31">
        <f>IF(J182="是",1,0)</f>
        <v/>
      </c>
    </row>
    <row r="183">
      <c r="C183" s="31">
        <f>IFERROR(_xlfn.XLOOKUP(B183,会员档案!$A:$A,会员档案!$B:$B),"")</f>
        <v/>
      </c>
      <c r="F183" s="31">
        <f>IFERROR(_xlfn.XLOOKUP(B183,会员档案!$A:$A,会员档案!$D:$D),"")</f>
        <v/>
      </c>
      <c r="G183" s="31">
        <f>IFERROR(_xlfn.XLOOKUP(B183,会员档案!$A:$A,会员档案!$E:$E),"")</f>
        <v/>
      </c>
      <c r="H183" s="31">
        <f>IFERROR(_xlfn.XLOOKUP(B183,会员档案!$A:$A,会员档案!$F:$F),"")</f>
        <v/>
      </c>
      <c r="I183" s="31">
        <f>IF(B183="","",IFERROR(VLOOKUP(B183,会员档案!$A:$Q,17,FALSE),""))</f>
        <v/>
      </c>
      <c r="J183" s="11">
        <f>IF(B183="","",IF(OR(H183="次卡",H183="期限卡"),"是","否"))</f>
        <v/>
      </c>
      <c r="K183" s="31">
        <f>IF(J183="是",1,0)</f>
        <v/>
      </c>
    </row>
    <row r="184">
      <c r="C184" s="31">
        <f>IFERROR(_xlfn.XLOOKUP(B184,会员档案!$A:$A,会员档案!$B:$B),"")</f>
        <v/>
      </c>
      <c r="F184" s="31">
        <f>IFERROR(_xlfn.XLOOKUP(B184,会员档案!$A:$A,会员档案!$D:$D),"")</f>
        <v/>
      </c>
      <c r="G184" s="31">
        <f>IFERROR(_xlfn.XLOOKUP(B184,会员档案!$A:$A,会员档案!$E:$E),"")</f>
        <v/>
      </c>
      <c r="H184" s="31">
        <f>IFERROR(_xlfn.XLOOKUP(B184,会员档案!$A:$A,会员档案!$F:$F),"")</f>
        <v/>
      </c>
      <c r="I184" s="31">
        <f>IF(B184="","",IFERROR(VLOOKUP(B184,会员档案!$A:$Q,17,FALSE),""))</f>
        <v/>
      </c>
      <c r="J184" s="11">
        <f>IF(B184="","",IF(OR(H184="次卡",H184="期限卡"),"是","否"))</f>
        <v/>
      </c>
      <c r="K184" s="31">
        <f>IF(J184="是",1,0)</f>
        <v/>
      </c>
    </row>
    <row r="185">
      <c r="C185" s="31">
        <f>IFERROR(_xlfn.XLOOKUP(B185,会员档案!$A:$A,会员档案!$B:$B),"")</f>
        <v/>
      </c>
      <c r="F185" s="31">
        <f>IFERROR(_xlfn.XLOOKUP(B185,会员档案!$A:$A,会员档案!$D:$D),"")</f>
        <v/>
      </c>
      <c r="G185" s="31">
        <f>IFERROR(_xlfn.XLOOKUP(B185,会员档案!$A:$A,会员档案!$E:$E),"")</f>
        <v/>
      </c>
      <c r="H185" s="31">
        <f>IFERROR(_xlfn.XLOOKUP(B185,会员档案!$A:$A,会员档案!$F:$F),"")</f>
        <v/>
      </c>
      <c r="I185" s="31">
        <f>IF(B185="","",IFERROR(VLOOKUP(B185,会员档案!$A:$Q,17,FALSE),""))</f>
        <v/>
      </c>
      <c r="J185" s="11">
        <f>IF(B185="","",IF(OR(H185="次卡",H185="期限卡"),"是","否"))</f>
        <v/>
      </c>
      <c r="K185" s="31">
        <f>IF(J185="是",1,0)</f>
        <v/>
      </c>
    </row>
    <row r="186">
      <c r="C186" s="31">
        <f>IFERROR(_xlfn.XLOOKUP(B186,会员档案!$A:$A,会员档案!$B:$B),"")</f>
        <v/>
      </c>
      <c r="F186" s="31">
        <f>IFERROR(_xlfn.XLOOKUP(B186,会员档案!$A:$A,会员档案!$D:$D),"")</f>
        <v/>
      </c>
      <c r="G186" s="31">
        <f>IFERROR(_xlfn.XLOOKUP(B186,会员档案!$A:$A,会员档案!$E:$E),"")</f>
        <v/>
      </c>
      <c r="H186" s="31">
        <f>IFERROR(_xlfn.XLOOKUP(B186,会员档案!$A:$A,会员档案!$F:$F),"")</f>
        <v/>
      </c>
      <c r="I186" s="31">
        <f>IF(B186="","",IFERROR(VLOOKUP(B186,会员档案!$A:$Q,17,FALSE),""))</f>
        <v/>
      </c>
      <c r="J186" s="11">
        <f>IF(B186="","",IF(OR(H186="次卡",H186="期限卡"),"是","否"))</f>
        <v/>
      </c>
      <c r="K186" s="31">
        <f>IF(J186="是",1,0)</f>
        <v/>
      </c>
    </row>
    <row r="187">
      <c r="C187" s="31">
        <f>IFERROR(_xlfn.XLOOKUP(B187,会员档案!$A:$A,会员档案!$B:$B),"")</f>
        <v/>
      </c>
      <c r="F187" s="31">
        <f>IFERROR(_xlfn.XLOOKUP(B187,会员档案!$A:$A,会员档案!$D:$D),"")</f>
        <v/>
      </c>
      <c r="G187" s="31">
        <f>IFERROR(_xlfn.XLOOKUP(B187,会员档案!$A:$A,会员档案!$E:$E),"")</f>
        <v/>
      </c>
      <c r="H187" s="31">
        <f>IFERROR(_xlfn.XLOOKUP(B187,会员档案!$A:$A,会员档案!$F:$F),"")</f>
        <v/>
      </c>
      <c r="I187" s="31">
        <f>IF(B187="","",IFERROR(VLOOKUP(B187,会员档案!$A:$Q,17,FALSE),""))</f>
        <v/>
      </c>
      <c r="J187" s="11">
        <f>IF(B187="","",IF(OR(H187="次卡",H187="期限卡"),"是","否"))</f>
        <v/>
      </c>
      <c r="K187" s="31">
        <f>IF(J187="是",1,0)</f>
        <v/>
      </c>
    </row>
    <row r="188">
      <c r="C188" s="31">
        <f>IFERROR(_xlfn.XLOOKUP(B188,会员档案!$A:$A,会员档案!$B:$B),"")</f>
        <v/>
      </c>
      <c r="F188" s="31">
        <f>IFERROR(_xlfn.XLOOKUP(B188,会员档案!$A:$A,会员档案!$D:$D),"")</f>
        <v/>
      </c>
      <c r="G188" s="31">
        <f>IFERROR(_xlfn.XLOOKUP(B188,会员档案!$A:$A,会员档案!$E:$E),"")</f>
        <v/>
      </c>
      <c r="H188" s="31">
        <f>IFERROR(_xlfn.XLOOKUP(B188,会员档案!$A:$A,会员档案!$F:$F),"")</f>
        <v/>
      </c>
      <c r="I188" s="31">
        <f>IF(B188="","",IFERROR(VLOOKUP(B188,会员档案!$A:$Q,17,FALSE),""))</f>
        <v/>
      </c>
      <c r="J188" s="11">
        <f>IF(B188="","",IF(OR(H188="次卡",H188="期限卡"),"是","否"))</f>
        <v/>
      </c>
      <c r="K188" s="31">
        <f>IF(J188="是",1,0)</f>
        <v/>
      </c>
    </row>
    <row r="189">
      <c r="C189" s="31">
        <f>IFERROR(_xlfn.XLOOKUP(B189,会员档案!$A:$A,会员档案!$B:$B),"")</f>
        <v/>
      </c>
      <c r="F189" s="31">
        <f>IFERROR(_xlfn.XLOOKUP(B189,会员档案!$A:$A,会员档案!$D:$D),"")</f>
        <v/>
      </c>
      <c r="G189" s="31">
        <f>IFERROR(_xlfn.XLOOKUP(B189,会员档案!$A:$A,会员档案!$E:$E),"")</f>
        <v/>
      </c>
      <c r="H189" s="31">
        <f>IFERROR(_xlfn.XLOOKUP(B189,会员档案!$A:$A,会员档案!$F:$F),"")</f>
        <v/>
      </c>
      <c r="I189" s="31">
        <f>IF(B189="","",IFERROR(VLOOKUP(B189,会员档案!$A:$Q,17,FALSE),""))</f>
        <v/>
      </c>
      <c r="J189" s="11">
        <f>IF(B189="","",IF(OR(H189="次卡",H189="期限卡"),"是","否"))</f>
        <v/>
      </c>
      <c r="K189" s="31">
        <f>IF(J189="是",1,0)</f>
        <v/>
      </c>
    </row>
    <row r="190">
      <c r="C190" s="31">
        <f>IFERROR(_xlfn.XLOOKUP(B190,会员档案!$A:$A,会员档案!$B:$B),"")</f>
        <v/>
      </c>
      <c r="F190" s="31">
        <f>IFERROR(_xlfn.XLOOKUP(B190,会员档案!$A:$A,会员档案!$D:$D),"")</f>
        <v/>
      </c>
      <c r="G190" s="31">
        <f>IFERROR(_xlfn.XLOOKUP(B190,会员档案!$A:$A,会员档案!$E:$E),"")</f>
        <v/>
      </c>
      <c r="H190" s="31">
        <f>IFERROR(_xlfn.XLOOKUP(B190,会员档案!$A:$A,会员档案!$F:$F),"")</f>
        <v/>
      </c>
      <c r="I190" s="31">
        <f>IF(B190="","",IFERROR(VLOOKUP(B190,会员档案!$A:$Q,17,FALSE),""))</f>
        <v/>
      </c>
      <c r="J190" s="11">
        <f>IF(B190="","",IF(OR(H190="次卡",H190="期限卡"),"是","否"))</f>
        <v/>
      </c>
      <c r="K190" s="31">
        <f>IF(J190="是",1,0)</f>
        <v/>
      </c>
    </row>
    <row r="191">
      <c r="C191" s="31">
        <f>IFERROR(_xlfn.XLOOKUP(B191,会员档案!$A:$A,会员档案!$B:$B),"")</f>
        <v/>
      </c>
      <c r="F191" s="31">
        <f>IFERROR(_xlfn.XLOOKUP(B191,会员档案!$A:$A,会员档案!$D:$D),"")</f>
        <v/>
      </c>
      <c r="G191" s="31">
        <f>IFERROR(_xlfn.XLOOKUP(B191,会员档案!$A:$A,会员档案!$E:$E),"")</f>
        <v/>
      </c>
      <c r="H191" s="31">
        <f>IFERROR(_xlfn.XLOOKUP(B191,会员档案!$A:$A,会员档案!$F:$F),"")</f>
        <v/>
      </c>
      <c r="I191" s="31">
        <f>IF(B191="","",IFERROR(VLOOKUP(B191,会员档案!$A:$Q,17,FALSE),""))</f>
        <v/>
      </c>
      <c r="J191" s="11">
        <f>IF(B191="","",IF(OR(H191="次卡",H191="期限卡"),"是","否"))</f>
        <v/>
      </c>
      <c r="K191" s="31">
        <f>IF(J191="是",1,0)</f>
        <v/>
      </c>
    </row>
    <row r="192">
      <c r="C192" s="31">
        <f>IFERROR(_xlfn.XLOOKUP(B192,会员档案!$A:$A,会员档案!$B:$B),"")</f>
        <v/>
      </c>
      <c r="F192" s="31">
        <f>IFERROR(_xlfn.XLOOKUP(B192,会员档案!$A:$A,会员档案!$D:$D),"")</f>
        <v/>
      </c>
      <c r="G192" s="31">
        <f>IFERROR(_xlfn.XLOOKUP(B192,会员档案!$A:$A,会员档案!$E:$E),"")</f>
        <v/>
      </c>
      <c r="H192" s="31">
        <f>IFERROR(_xlfn.XLOOKUP(B192,会员档案!$A:$A,会员档案!$F:$F),"")</f>
        <v/>
      </c>
      <c r="I192" s="31">
        <f>IF(B192="","",IFERROR(VLOOKUP(B192,会员档案!$A:$Q,17,FALSE),""))</f>
        <v/>
      </c>
      <c r="J192" s="11">
        <f>IF(B192="","",IF(OR(H192="次卡",H192="期限卡"),"是","否"))</f>
        <v/>
      </c>
      <c r="K192" s="31">
        <f>IF(J192="是",1,0)</f>
        <v/>
      </c>
    </row>
    <row r="193">
      <c r="C193" s="31">
        <f>IFERROR(_xlfn.XLOOKUP(B193,会员档案!$A:$A,会员档案!$B:$B),"")</f>
        <v/>
      </c>
      <c r="F193" s="31">
        <f>IFERROR(_xlfn.XLOOKUP(B193,会员档案!$A:$A,会员档案!$D:$D),"")</f>
        <v/>
      </c>
      <c r="G193" s="31">
        <f>IFERROR(_xlfn.XLOOKUP(B193,会员档案!$A:$A,会员档案!$E:$E),"")</f>
        <v/>
      </c>
      <c r="H193" s="31">
        <f>IFERROR(_xlfn.XLOOKUP(B193,会员档案!$A:$A,会员档案!$F:$F),"")</f>
        <v/>
      </c>
      <c r="I193" s="31">
        <f>IF(B193="","",IFERROR(VLOOKUP(B193,会员档案!$A:$Q,17,FALSE),""))</f>
        <v/>
      </c>
      <c r="J193" s="11">
        <f>IF(B193="","",IF(OR(H193="次卡",H193="期限卡"),"是","否"))</f>
        <v/>
      </c>
      <c r="K193" s="31">
        <f>IF(J193="是",1,0)</f>
        <v/>
      </c>
    </row>
    <row r="194">
      <c r="C194" s="31">
        <f>IFERROR(_xlfn.XLOOKUP(B194,会员档案!$A:$A,会员档案!$B:$B),"")</f>
        <v/>
      </c>
      <c r="F194" s="31">
        <f>IFERROR(_xlfn.XLOOKUP(B194,会员档案!$A:$A,会员档案!$D:$D),"")</f>
        <v/>
      </c>
      <c r="G194" s="31">
        <f>IFERROR(_xlfn.XLOOKUP(B194,会员档案!$A:$A,会员档案!$E:$E),"")</f>
        <v/>
      </c>
      <c r="H194" s="31">
        <f>IFERROR(_xlfn.XLOOKUP(B194,会员档案!$A:$A,会员档案!$F:$F),"")</f>
        <v/>
      </c>
      <c r="I194" s="31">
        <f>IF(B194="","",IFERROR(VLOOKUP(B194,会员档案!$A:$Q,17,FALSE),""))</f>
        <v/>
      </c>
      <c r="J194" s="11">
        <f>IF(B194="","",IF(OR(H194="次卡",H194="期限卡"),"是","否"))</f>
        <v/>
      </c>
      <c r="K194" s="31">
        <f>IF(J194="是",1,0)</f>
        <v/>
      </c>
    </row>
    <row r="195">
      <c r="C195" s="31">
        <f>IFERROR(_xlfn.XLOOKUP(B195,会员档案!$A:$A,会员档案!$B:$B),"")</f>
        <v/>
      </c>
      <c r="F195" s="31">
        <f>IFERROR(_xlfn.XLOOKUP(B195,会员档案!$A:$A,会员档案!$D:$D),"")</f>
        <v/>
      </c>
      <c r="G195" s="31">
        <f>IFERROR(_xlfn.XLOOKUP(B195,会员档案!$A:$A,会员档案!$E:$E),"")</f>
        <v/>
      </c>
      <c r="H195" s="31">
        <f>IFERROR(_xlfn.XLOOKUP(B195,会员档案!$A:$A,会员档案!$F:$F),"")</f>
        <v/>
      </c>
      <c r="I195" s="31">
        <f>IF(B195="","",IFERROR(VLOOKUP(B195,会员档案!$A:$Q,17,FALSE),""))</f>
        <v/>
      </c>
      <c r="J195" s="11">
        <f>IF(B195="","",IF(OR(H195="次卡",H195="期限卡"),"是","否"))</f>
        <v/>
      </c>
      <c r="K195" s="31">
        <f>IF(J195="是",1,0)</f>
        <v/>
      </c>
    </row>
    <row r="196">
      <c r="C196" s="31">
        <f>IFERROR(_xlfn.XLOOKUP(B196,会员档案!$A:$A,会员档案!$B:$B),"")</f>
        <v/>
      </c>
      <c r="F196" s="31">
        <f>IFERROR(_xlfn.XLOOKUP(B196,会员档案!$A:$A,会员档案!$D:$D),"")</f>
        <v/>
      </c>
      <c r="G196" s="31">
        <f>IFERROR(_xlfn.XLOOKUP(B196,会员档案!$A:$A,会员档案!$E:$E),"")</f>
        <v/>
      </c>
      <c r="H196" s="31">
        <f>IFERROR(_xlfn.XLOOKUP(B196,会员档案!$A:$A,会员档案!$F:$F),"")</f>
        <v/>
      </c>
      <c r="I196" s="31">
        <f>IF(B196="","",IFERROR(VLOOKUP(B196,会员档案!$A:$Q,17,FALSE),""))</f>
        <v/>
      </c>
      <c r="J196" s="11">
        <f>IF(B196="","",IF(OR(H196="次卡",H196="期限卡"),"是","否"))</f>
        <v/>
      </c>
      <c r="K196" s="31">
        <f>IF(J196="是",1,0)</f>
        <v/>
      </c>
    </row>
    <row r="197">
      <c r="C197" s="31">
        <f>IFERROR(_xlfn.XLOOKUP(B197,会员档案!$A:$A,会员档案!$B:$B),"")</f>
        <v/>
      </c>
      <c r="F197" s="31">
        <f>IFERROR(_xlfn.XLOOKUP(B197,会员档案!$A:$A,会员档案!$D:$D),"")</f>
        <v/>
      </c>
      <c r="G197" s="31">
        <f>IFERROR(_xlfn.XLOOKUP(B197,会员档案!$A:$A,会员档案!$E:$E),"")</f>
        <v/>
      </c>
      <c r="H197" s="31">
        <f>IFERROR(_xlfn.XLOOKUP(B197,会员档案!$A:$A,会员档案!$F:$F),"")</f>
        <v/>
      </c>
      <c r="I197" s="31">
        <f>IF(B197="","",IFERROR(VLOOKUP(B197,会员档案!$A:$Q,17,FALSE),""))</f>
        <v/>
      </c>
      <c r="J197" s="11">
        <f>IF(B197="","",IF(OR(H197="次卡",H197="期限卡"),"是","否"))</f>
        <v/>
      </c>
      <c r="K197" s="31">
        <f>IF(J197="是",1,0)</f>
        <v/>
      </c>
    </row>
    <row r="198">
      <c r="C198" s="31">
        <f>IFERROR(_xlfn.XLOOKUP(B198,会员档案!$A:$A,会员档案!$B:$B),"")</f>
        <v/>
      </c>
      <c r="F198" s="31">
        <f>IFERROR(_xlfn.XLOOKUP(B198,会员档案!$A:$A,会员档案!$D:$D),"")</f>
        <v/>
      </c>
      <c r="G198" s="31">
        <f>IFERROR(_xlfn.XLOOKUP(B198,会员档案!$A:$A,会员档案!$E:$E),"")</f>
        <v/>
      </c>
      <c r="H198" s="31">
        <f>IFERROR(_xlfn.XLOOKUP(B198,会员档案!$A:$A,会员档案!$F:$F),"")</f>
        <v/>
      </c>
      <c r="I198" s="31">
        <f>IF(B198="","",IFERROR(VLOOKUP(B198,会员档案!$A:$Q,17,FALSE),""))</f>
        <v/>
      </c>
      <c r="J198" s="11">
        <f>IF(B198="","",IF(OR(H198="次卡",H198="期限卡"),"是","否"))</f>
        <v/>
      </c>
      <c r="K198" s="31">
        <f>IF(J198="是",1,0)</f>
        <v/>
      </c>
    </row>
    <row r="199">
      <c r="C199" s="31">
        <f>IFERROR(_xlfn.XLOOKUP(B199,会员档案!$A:$A,会员档案!$B:$B),"")</f>
        <v/>
      </c>
      <c r="F199" s="31">
        <f>IFERROR(_xlfn.XLOOKUP(B199,会员档案!$A:$A,会员档案!$D:$D),"")</f>
        <v/>
      </c>
      <c r="G199" s="31">
        <f>IFERROR(_xlfn.XLOOKUP(B199,会员档案!$A:$A,会员档案!$E:$E),"")</f>
        <v/>
      </c>
      <c r="H199" s="31">
        <f>IFERROR(_xlfn.XLOOKUP(B199,会员档案!$A:$A,会员档案!$F:$F),"")</f>
        <v/>
      </c>
      <c r="I199" s="31">
        <f>IF(B199="","",IFERROR(VLOOKUP(B199,会员档案!$A:$Q,17,FALSE),""))</f>
        <v/>
      </c>
      <c r="J199" s="11">
        <f>IF(B199="","",IF(OR(H199="次卡",H199="期限卡"),"是","否"))</f>
        <v/>
      </c>
      <c r="K199" s="31">
        <f>IF(J199="是",1,0)</f>
        <v/>
      </c>
    </row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autoFilter ref="A1:N199"/>
  <dataValidations count="1">
    <dataValidation sqref="J2:J199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B13" sqref="B13"/>
    </sheetView>
  </sheetViews>
  <sheetFormatPr baseColWidth="8" defaultColWidth="9" defaultRowHeight="13.5" outlineLevelCol="0"/>
  <cols>
    <col width="21.05" customWidth="1" style="29" min="1" max="1"/>
    <col width="18.1333333333333" customWidth="1" style="29" min="2" max="2"/>
    <col width="64.2583333333333" customWidth="1" style="29" min="3" max="3"/>
    <col width="11.4916666666667" customWidth="1" min="4" max="4"/>
    <col width="9.25" customWidth="1" min="5" max="5"/>
    <col width="16.7583333333333" customWidth="1" min="6" max="11"/>
  </cols>
  <sheetData>
    <row r="1" ht="25.1" customHeight="1">
      <c r="A1" s="14" t="inlineStr">
        <is>
          <t>会员运营实时看板</t>
        </is>
      </c>
      <c r="B1" s="15" t="n"/>
      <c r="C1" s="16" t="n"/>
    </row>
    <row r="2">
      <c r="A2" s="17" t="n"/>
      <c r="B2" s="18" t="n"/>
      <c r="C2" s="19" t="n"/>
    </row>
    <row r="3">
      <c r="A3" s="20" t="inlineStr">
        <is>
          <t>指标</t>
        </is>
      </c>
      <c r="B3" s="20" t="inlineStr">
        <is>
          <t>实时数值</t>
        </is>
      </c>
      <c r="C3" s="20" t="inlineStr">
        <is>
          <t>说明</t>
        </is>
      </c>
    </row>
    <row r="4">
      <c r="A4" s="21" t="inlineStr">
        <is>
          <t>会员总数</t>
        </is>
      </c>
      <c r="B4" s="21">
        <f>COUNTIF(会员档案!A2:A504,"&lt;&gt;")</f>
        <v/>
      </c>
      <c r="C4" s="21" t="inlineStr">
        <is>
          <t>录入会员数量</t>
        </is>
      </c>
    </row>
    <row r="5">
      <c r="A5" s="21" t="inlineStr">
        <is>
          <t>正常会员</t>
        </is>
      </c>
      <c r="B5" s="21">
        <f>COUNTIF(会员档案!U2:U504,"正常")</f>
        <v/>
      </c>
      <c r="C5" s="21" t="inlineStr">
        <is>
          <t>连续未到 &lt; 7天</t>
        </is>
      </c>
    </row>
    <row r="6">
      <c r="A6" s="21" t="inlineStr">
        <is>
          <t>预警会员</t>
        </is>
      </c>
      <c r="B6" s="21">
        <f>COUNTIF(会员档案!U2:U504,"预警客户")</f>
        <v/>
      </c>
      <c r="C6" s="21" t="inlineStr">
        <is>
          <t>连续未到 7-9天</t>
        </is>
      </c>
    </row>
    <row r="7">
      <c r="A7" s="21" t="inlineStr">
        <is>
          <t>沉睡客户</t>
        </is>
      </c>
      <c r="B7" s="21">
        <f>COUNTIF(会员档案!U2:U504,"沉睡客户")</f>
        <v/>
      </c>
      <c r="C7" s="21" t="inlineStr">
        <is>
          <t>连续10天未上课，自动标红</t>
        </is>
      </c>
    </row>
    <row r="8">
      <c r="A8" s="21" t="inlineStr">
        <is>
          <t>已到期会员</t>
        </is>
      </c>
      <c r="B8" s="21">
        <f>COUNTIF(会员档案!U2:U504,"已到期")</f>
        <v/>
      </c>
      <c r="C8" s="21" t="inlineStr">
        <is>
          <t>次卡耗尽或期限到期</t>
        </is>
      </c>
    </row>
    <row r="9">
      <c r="A9" s="21" t="inlineStr">
        <is>
          <t>待开卡会员</t>
        </is>
      </c>
      <c r="B9" s="21">
        <f>COUNTIF(会员档案!U2:U504,"待开卡")</f>
        <v/>
      </c>
      <c r="C9" s="21" t="inlineStr">
        <is>
          <t>已购课但尚未开卡的会员</t>
        </is>
      </c>
      <c r="F9" s="22" t="n"/>
    </row>
    <row r="10">
      <c r="A10" s="21" t="inlineStr">
        <is>
          <t>今日上课人次</t>
        </is>
      </c>
      <c r="B10" s="21">
        <f>COUNTIFS(上课记录!D:D,TODAY(),上课记录!J:J,"是")</f>
        <v/>
      </c>
      <c r="C10" s="21" t="inlineStr">
        <is>
          <t>当天有效上课记录</t>
        </is>
      </c>
      <c r="F10" s="22" t="n"/>
    </row>
    <row r="11">
      <c r="A11" s="21" t="inlineStr">
        <is>
          <t>今日效果图</t>
        </is>
      </c>
      <c r="B11" s="21">
        <f>COUNTIFS(上课记录!D:D,TODAY(),上课记录!M:M,"1")</f>
        <v/>
      </c>
      <c r="C11" s="21" t="inlineStr">
        <is>
          <t>今日客户效果图</t>
        </is>
      </c>
    </row>
    <row r="12">
      <c r="A12" s="21" t="inlineStr">
        <is>
          <t>今日营收</t>
        </is>
      </c>
      <c r="B12" s="23">
        <f t="array" ref="B12">SUMPRODUCT((会员档案!G2:G1011=TODAY())*IFERROR(会员档案!J2:J1011+0,0))</f>
        <v/>
      </c>
      <c r="C12" s="21" t="inlineStr">
        <is>
          <t>今日门店业绩</t>
        </is>
      </c>
    </row>
    <row r="13">
      <c r="A13" s="21" t="inlineStr">
        <is>
          <t>本月营收</t>
        </is>
      </c>
      <c r="B13" s="24">
        <f t="array" ref="B13">SUMPRODUCT((MONTH(会员档案!G2:G1012)=MONTH(TODAY()))*(YEAR(会员档案!G2:G1012)=YEAR(TODAY()))*IFERROR(会员档案!J2:J1012+0,0))</f>
        <v/>
      </c>
      <c r="C13" s="21" t="inlineStr">
        <is>
          <t>本月门店业绩</t>
        </is>
      </c>
    </row>
    <row r="14">
      <c r="A14" s="21" t="inlineStr">
        <is>
          <t>今日次卡耗课金额</t>
        </is>
      </c>
      <c r="B14" s="21">
        <f t="array" ref="B14">SUMPRODUCT((上课记录!D2:D1024=TODAY())*(上课记录!H2:H1024="次卡")*(上课记录!J2:J1024="是")*IFERROR(上课记录!I2:I1024+0,0))</f>
        <v/>
      </c>
      <c r="C14" s="21" t="inlineStr">
        <is>
          <t>今日客户次卡耗课金额</t>
        </is>
      </c>
    </row>
    <row r="15">
      <c r="A15" s="21" t="inlineStr">
        <is>
          <t>今日期限卡耗课金额</t>
        </is>
      </c>
      <c r="B15" s="21">
        <f t="array" ref="B15">SUMPRODUCT((会员档案!F2:F504="期限卡")*(会员档案!H2:H504&lt;=TODAY())*(会员档案!I2:I504&gt;=TODAY())*IFERROR(会员档案!Q2:Q504+0,0))</f>
        <v/>
      </c>
      <c r="C15" s="21" t="inlineStr">
        <is>
          <t>今日客户期限卡耗课金额</t>
        </is>
      </c>
    </row>
    <row r="16">
      <c r="A16" s="21" t="inlineStr">
        <is>
          <t>今日总耗课金额</t>
        </is>
      </c>
      <c r="B16" s="21">
        <f>B14+B15</f>
        <v/>
      </c>
      <c r="C16" s="21" t="inlineStr">
        <is>
          <t>今日总耗课金额</t>
        </is>
      </c>
    </row>
    <row r="17" ht="14.25" customHeight="1">
      <c r="A17" s="21" t="inlineStr">
        <is>
          <t>门店负债</t>
        </is>
      </c>
      <c r="B17" s="25">
        <f>SUM(会员档案!R2:R517)</f>
        <v/>
      </c>
      <c r="C17" s="21" t="inlineStr">
        <is>
          <t>目前门店负债</t>
        </is>
      </c>
    </row>
    <row r="18">
      <c r="A18" s="26" t="inlineStr">
        <is>
          <t>核心使用逻辑</t>
        </is>
      </c>
    </row>
    <row r="19">
      <c r="A19" s="27" t="inlineStr">
        <is>
          <t>1. 每次会员上课，只需要在【上课记录】新增一行，填写会员编号、日期、时间、课程。</t>
        </is>
      </c>
    </row>
    <row r="20">
      <c r="A20" s="27" t="inlineStr">
        <is>
          <t>2. 系统自动识别会员、老师、项目、卡种，并计入有效上课次数。</t>
        </is>
      </c>
    </row>
    <row r="21">
      <c r="A21" s="27" t="inlineStr">
        <is>
          <t>3. 次卡：每有效上课1次，剩余次数自动减1。</t>
        </is>
      </c>
    </row>
    <row r="22">
      <c r="A22" s="27" t="inlineStr">
        <is>
          <t>4. 期限卡：不需要老师每天手工扣天数，系统根据“有效期至-今天”自动计算剩余天数。</t>
        </is>
      </c>
    </row>
    <row r="23">
      <c r="A23" s="27" t="inlineStr">
        <is>
          <t>5. 系统自动抓取每位会员最后一次上课日期，并计算连续未到天数。</t>
        </is>
      </c>
    </row>
    <row r="24">
      <c r="A24" s="27" t="inlineStr">
        <is>
          <t>6. 连续未到7天：黄色预警,整行自动标记黄色；连续未到10天及以上：自动标红并标记“沉睡客户”。</t>
        </is>
      </c>
    </row>
    <row r="25">
      <c r="A25" s="27" t="inlineStr">
        <is>
          <t>7. 会员档案、上课记录、实时看板三张表联动，老师只负责记录上课，不再重复核算。</t>
        </is>
      </c>
    </row>
  </sheetData>
  <mergeCells count="9">
    <mergeCell ref="A25:C25"/>
    <mergeCell ref="A19:C19"/>
    <mergeCell ref="A23:C23"/>
    <mergeCell ref="A1:C2"/>
    <mergeCell ref="A22:C22"/>
    <mergeCell ref="A18:C18"/>
    <mergeCell ref="A21:C21"/>
    <mergeCell ref="A20:C20"/>
    <mergeCell ref="A24:C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9"/>
  <sheetViews>
    <sheetView workbookViewId="0">
      <pane ySplit="1" topLeftCell="A2" activePane="bottomLeft" state="frozen"/>
      <selection activeCell="A1" sqref="A1"/>
      <selection pane="bottomLeft" activeCell="G8" sqref="G8"/>
    </sheetView>
  </sheetViews>
  <sheetFormatPr baseColWidth="8" defaultColWidth="9" defaultRowHeight="13.5" outlineLevelCol="0"/>
  <cols>
    <col width="12" customWidth="1" min="1" max="4"/>
    <col width="14" customWidth="1" style="59" min="5" max="5"/>
    <col width="14" customWidth="1" min="6" max="6"/>
    <col width="11" customWidth="1" min="7" max="8"/>
    <col width="11" customWidth="1" style="60" min="9" max="9"/>
    <col width="28" customWidth="1" style="5" min="10" max="10"/>
    <col width="14" customWidth="1" style="5" min="11" max="11"/>
  </cols>
  <sheetData>
    <row r="1">
      <c r="A1" s="6" t="inlineStr">
        <is>
          <t>会员编号</t>
        </is>
      </c>
      <c r="B1" s="6" t="inlineStr">
        <is>
          <t>会员姓名</t>
        </is>
      </c>
      <c r="C1" s="6" t="inlineStr">
        <is>
          <t>负责老师</t>
        </is>
      </c>
      <c r="D1" s="6" t="inlineStr">
        <is>
          <t>卡种</t>
        </is>
      </c>
      <c r="E1" s="54" t="inlineStr">
        <is>
          <t>最后上课日期</t>
        </is>
      </c>
      <c r="F1" s="6" t="inlineStr">
        <is>
          <t>连续未到天数</t>
        </is>
      </c>
      <c r="G1" s="6" t="inlineStr">
        <is>
          <t>剩余次数</t>
        </is>
      </c>
      <c r="H1" s="6" t="inlineStr">
        <is>
          <t>剩余天数</t>
        </is>
      </c>
      <c r="I1" s="54" t="inlineStr">
        <is>
          <t>跟进日期</t>
        </is>
      </c>
      <c r="J1" s="6" t="inlineStr">
        <is>
          <t>跟进结果</t>
        </is>
      </c>
      <c r="K1" s="6" t="inlineStr">
        <is>
          <t>下次跟进日期</t>
        </is>
      </c>
    </row>
    <row r="2">
      <c r="A2" s="31">
        <f>IF(会员档案!$U2="沉睡客户",会员档案!$A2,"")</f>
        <v/>
      </c>
      <c r="B2" s="31">
        <f>IF(A2="","",会员档案!$B2)</f>
        <v/>
      </c>
      <c r="C2" s="31">
        <f>IF(A2="","",会员档案!$D2)</f>
        <v/>
      </c>
      <c r="D2" s="31">
        <f>IF(A2="","",会员档案!$F2)</f>
        <v/>
      </c>
      <c r="E2" s="58">
        <f>IF(A2="","",会员档案!$S2)</f>
        <v/>
      </c>
      <c r="F2" s="31">
        <f>IF(A2="","",会员档案!$T2)</f>
        <v/>
      </c>
      <c r="G2" s="31">
        <f>IF(A2="","",会员档案!$O2)</f>
        <v/>
      </c>
      <c r="H2" s="31">
        <f>IF(A2="","",会员档案!$P2)</f>
        <v/>
      </c>
      <c r="I2" s="55" t="n"/>
      <c r="J2" s="11" t="n"/>
      <c r="K2" s="12" t="n"/>
    </row>
    <row r="3">
      <c r="A3" s="31">
        <f>IF(会员档案!$U3="沉睡客户",会员档案!$A3,"")</f>
        <v/>
      </c>
      <c r="B3" s="31">
        <f>IF(A3="","",会员档案!$B3)</f>
        <v/>
      </c>
      <c r="C3" s="31">
        <f>IF(A3="","",会员档案!$D3)</f>
        <v/>
      </c>
      <c r="D3" s="31">
        <f>IF(A3="","",会员档案!$F3)</f>
        <v/>
      </c>
      <c r="E3" s="58">
        <f>IF(A3="","",会员档案!$S3)</f>
        <v/>
      </c>
      <c r="F3" s="31">
        <f>IF(A3="","",会员档案!$T3)</f>
        <v/>
      </c>
      <c r="G3" s="31">
        <f>IF(A3="","",会员档案!$O3)</f>
        <v/>
      </c>
      <c r="H3" s="31">
        <f>IF(A3="","",会员档案!$P3)</f>
        <v/>
      </c>
      <c r="I3" s="55" t="n"/>
      <c r="J3" s="11" t="n"/>
      <c r="K3" s="11" t="n"/>
    </row>
    <row r="4">
      <c r="A4" s="31">
        <f>IF(会员档案!$U4="沉睡客户",会员档案!$A4,"")</f>
        <v/>
      </c>
      <c r="B4" s="31">
        <f>IF(A4="","",会员档案!$B4)</f>
        <v/>
      </c>
      <c r="C4" s="31">
        <f>IF(A4="","",会员档案!$D4)</f>
        <v/>
      </c>
      <c r="D4" s="31">
        <f>IF(A4="","",会员档案!$F4)</f>
        <v/>
      </c>
      <c r="E4" s="58">
        <f>IF(A4="","",会员档案!$S4)</f>
        <v/>
      </c>
      <c r="F4" s="31">
        <f>IF(A4="","",会员档案!$T4)</f>
        <v/>
      </c>
      <c r="G4" s="31">
        <f>IF(A4="","",会员档案!$O4)</f>
        <v/>
      </c>
      <c r="H4" s="31">
        <f>IF(A4="","",会员档案!$P4)</f>
        <v/>
      </c>
      <c r="I4" s="55" t="n"/>
      <c r="J4" s="11" t="n"/>
      <c r="K4" s="11" t="n"/>
    </row>
    <row r="5">
      <c r="A5" s="31">
        <f>IF(会员档案!$U5="沉睡客户",会员档案!$A5,"")</f>
        <v/>
      </c>
      <c r="B5" s="31">
        <f>IF(A5="","",会员档案!$B5)</f>
        <v/>
      </c>
      <c r="C5" s="31">
        <f>IF(A5="","",会员档案!$D5)</f>
        <v/>
      </c>
      <c r="D5" s="31">
        <f>IF(A5="","",会员档案!$F5)</f>
        <v/>
      </c>
      <c r="E5" s="58">
        <f>IF(A5="","",会员档案!$S5)</f>
        <v/>
      </c>
      <c r="F5" s="31">
        <f>IF(A5="","",会员档案!$T5)</f>
        <v/>
      </c>
      <c r="G5" s="31">
        <f>IF(A5="","",会员档案!$O5)</f>
        <v/>
      </c>
      <c r="H5" s="31">
        <f>IF(A5="","",会员档案!$P5)</f>
        <v/>
      </c>
      <c r="I5" s="55" t="n"/>
      <c r="J5" s="11" t="n"/>
      <c r="K5" s="11" t="n"/>
    </row>
    <row r="6">
      <c r="A6" s="31">
        <f>IF(会员档案!$U6="沉睡客户",会员档案!$A6,"")</f>
        <v/>
      </c>
      <c r="B6" s="31">
        <f>IF(A6="","",会员档案!$B6)</f>
        <v/>
      </c>
      <c r="C6" s="31">
        <f>IF(A6="","",会员档案!$D6)</f>
        <v/>
      </c>
      <c r="D6" s="31">
        <f>IF(A6="","",会员档案!$F6)</f>
        <v/>
      </c>
      <c r="E6" s="58">
        <f>IF(A6="","",会员档案!$S6)</f>
        <v/>
      </c>
      <c r="F6" s="31">
        <f>IF(A6="","",会员档案!$T6)</f>
        <v/>
      </c>
      <c r="G6" s="31">
        <f>IF(A6="","",会员档案!$O6)</f>
        <v/>
      </c>
      <c r="H6" s="31">
        <f>IF(A6="","",会员档案!$P6)</f>
        <v/>
      </c>
      <c r="I6" s="55" t="n"/>
      <c r="J6" s="11" t="n"/>
      <c r="K6" s="11" t="n"/>
    </row>
    <row r="7">
      <c r="A7" s="31">
        <f>IF(会员档案!$U7="沉睡客户",会员档案!$A7,"")</f>
        <v/>
      </c>
      <c r="B7" s="31">
        <f>IF(A7="","",会员档案!$B7)</f>
        <v/>
      </c>
      <c r="C7" s="31">
        <f>IF(A7="","",会员档案!$D7)</f>
        <v/>
      </c>
      <c r="D7" s="31">
        <f>IF(A7="","",会员档案!$F7)</f>
        <v/>
      </c>
      <c r="E7" s="58">
        <f>IF(A7="","",会员档案!$S7)</f>
        <v/>
      </c>
      <c r="F7" s="31">
        <f>IF(A7="","",会员档案!$T7)</f>
        <v/>
      </c>
      <c r="G7" s="31">
        <f>IF(A7="","",会员档案!$O7)</f>
        <v/>
      </c>
      <c r="H7" s="31">
        <f>IF(A7="","",会员档案!$P7)</f>
        <v/>
      </c>
      <c r="I7" s="55" t="n"/>
      <c r="J7" s="11" t="n"/>
      <c r="K7" s="11" t="n"/>
    </row>
    <row r="8">
      <c r="A8" s="31">
        <f>IF(会员档案!$U8="沉睡客户",会员档案!$A8,"")</f>
        <v/>
      </c>
      <c r="B8" s="31">
        <f>IF(A8="","",会员档案!$B8)</f>
        <v/>
      </c>
      <c r="C8" s="31">
        <f>IF(A8="","",会员档案!$D8)</f>
        <v/>
      </c>
      <c r="D8" s="31">
        <f>IF(A8="","",会员档案!$F8)</f>
        <v/>
      </c>
      <c r="E8" s="58">
        <f>IF(A8="","",会员档案!$S8)</f>
        <v/>
      </c>
      <c r="F8" s="31">
        <f>IF(A8="","",会员档案!$T8)</f>
        <v/>
      </c>
      <c r="G8" s="31">
        <f>IF(A8="","",会员档案!$O8)</f>
        <v/>
      </c>
      <c r="H8" s="31">
        <f>IF(A8="","",会员档案!$P8)</f>
        <v/>
      </c>
      <c r="I8" s="55" t="n"/>
      <c r="J8" s="11" t="n"/>
      <c r="K8" s="11" t="n"/>
    </row>
    <row r="9">
      <c r="A9" s="31">
        <f>IF(会员档案!$U9="沉睡客户",会员档案!$A9,"")</f>
        <v/>
      </c>
      <c r="B9" s="31">
        <f>IF(A9="","",会员档案!$B9)</f>
        <v/>
      </c>
      <c r="C9" s="31">
        <f>IF(A9="","",会员档案!$D9)</f>
        <v/>
      </c>
      <c r="D9" s="31">
        <f>IF(A9="","",会员档案!$F9)</f>
        <v/>
      </c>
      <c r="E9" s="58">
        <f>IF(A9="","",会员档案!$S9)</f>
        <v/>
      </c>
      <c r="F9" s="31">
        <f>IF(A9="","",会员档案!$T9)</f>
        <v/>
      </c>
      <c r="G9" s="31">
        <f>IF(A9="","",会员档案!$O9)</f>
        <v/>
      </c>
      <c r="H9" s="31">
        <f>IF(A9="","",会员档案!$P9)</f>
        <v/>
      </c>
      <c r="I9" s="55" t="n"/>
      <c r="J9" s="11" t="n"/>
      <c r="K9" s="11" t="n"/>
    </row>
    <row r="10">
      <c r="A10" s="31">
        <f>IF(会员档案!$U10="沉睡客户",会员档案!$A10,"")</f>
        <v/>
      </c>
      <c r="B10" s="31">
        <f>IF(A10="","",会员档案!$B10)</f>
        <v/>
      </c>
      <c r="C10" s="31">
        <f>IF(A10="","",会员档案!$D10)</f>
        <v/>
      </c>
      <c r="D10" s="31">
        <f>IF(A10="","",会员档案!$F10)</f>
        <v/>
      </c>
      <c r="E10" s="58">
        <f>IF(A10="","",会员档案!$S10)</f>
        <v/>
      </c>
      <c r="F10" s="31">
        <f>IF(A10="","",会员档案!$T10)</f>
        <v/>
      </c>
      <c r="G10" s="31">
        <f>IF(A10="","",会员档案!$O10)</f>
        <v/>
      </c>
      <c r="H10" s="31">
        <f>IF(A10="","",会员档案!$P10)</f>
        <v/>
      </c>
      <c r="I10" s="55" t="n"/>
      <c r="J10" s="11" t="n"/>
      <c r="K10" s="11" t="n"/>
    </row>
    <row r="11">
      <c r="A11" s="31">
        <f>IF(会员档案!$U11="沉睡客户",会员档案!$A11,"")</f>
        <v/>
      </c>
      <c r="B11" s="31">
        <f>IF(A11="","",会员档案!$B11)</f>
        <v/>
      </c>
      <c r="C11" s="31">
        <f>IF(A11="","",会员档案!$D11)</f>
        <v/>
      </c>
      <c r="D11" s="31">
        <f>IF(A11="","",会员档案!$F11)</f>
        <v/>
      </c>
      <c r="E11" s="58">
        <f>IF(A11="","",会员档案!$S11)</f>
        <v/>
      </c>
      <c r="F11" s="31">
        <f>IF(A11="","",会员档案!$T11)</f>
        <v/>
      </c>
      <c r="G11" s="31">
        <f>IF(A11="","",会员档案!$O11)</f>
        <v/>
      </c>
      <c r="H11" s="31">
        <f>IF(A11="","",会员档案!$P11)</f>
        <v/>
      </c>
      <c r="I11" s="55" t="n"/>
      <c r="J11" s="11" t="n"/>
      <c r="K11" s="11" t="n"/>
    </row>
    <row r="12">
      <c r="A12" s="31">
        <f>IF(会员档案!$U12="沉睡客户",会员档案!$A12,"")</f>
        <v/>
      </c>
      <c r="B12" s="31">
        <f>IF(A12="","",会员档案!$B12)</f>
        <v/>
      </c>
      <c r="C12" s="31">
        <f>IF(A12="","",会员档案!$D12)</f>
        <v/>
      </c>
      <c r="D12" s="31">
        <f>IF(A12="","",会员档案!$F12)</f>
        <v/>
      </c>
      <c r="E12" s="58">
        <f>IF(A12="","",会员档案!$S12)</f>
        <v/>
      </c>
      <c r="F12" s="31">
        <f>IF(A12="","",会员档案!$T12)</f>
        <v/>
      </c>
      <c r="G12" s="31">
        <f>IF(A12="","",会员档案!$O12)</f>
        <v/>
      </c>
      <c r="H12" s="31">
        <f>IF(A12="","",会员档案!$P12)</f>
        <v/>
      </c>
      <c r="I12" s="55" t="n"/>
      <c r="J12" s="11" t="n"/>
      <c r="K12" s="11" t="n"/>
    </row>
    <row r="13">
      <c r="A13" s="31">
        <f>IF(会员档案!$U13="沉睡客户",会员档案!$A13,"")</f>
        <v/>
      </c>
      <c r="B13" s="31">
        <f>IF(A13="","",会员档案!$B13)</f>
        <v/>
      </c>
      <c r="C13" s="31">
        <f>IF(A13="","",会员档案!$D13)</f>
        <v/>
      </c>
      <c r="D13" s="31">
        <f>IF(A13="","",会员档案!$F13)</f>
        <v/>
      </c>
      <c r="E13" s="58">
        <f>IF(A13="","",会员档案!$S13)</f>
        <v/>
      </c>
      <c r="F13" s="31">
        <f>IF(A13="","",会员档案!$T13)</f>
        <v/>
      </c>
      <c r="G13" s="31">
        <f>IF(A13="","",会员档案!$O13)</f>
        <v/>
      </c>
      <c r="H13" s="31">
        <f>IF(A13="","",会员档案!$P13)</f>
        <v/>
      </c>
      <c r="I13" s="55" t="n"/>
      <c r="J13" s="11" t="n"/>
      <c r="K13" s="11" t="n"/>
    </row>
    <row r="14">
      <c r="A14" s="31">
        <f>IF(会员档案!$U14="沉睡客户",会员档案!$A14,"")</f>
        <v/>
      </c>
      <c r="B14" s="31">
        <f>IF(A14="","",会员档案!$B14)</f>
        <v/>
      </c>
      <c r="C14" s="31">
        <f>IF(A14="","",会员档案!$D14)</f>
        <v/>
      </c>
      <c r="D14" s="31">
        <f>IF(A14="","",会员档案!$F14)</f>
        <v/>
      </c>
      <c r="E14" s="58">
        <f>IF(A14="","",会员档案!$S14)</f>
        <v/>
      </c>
      <c r="F14" s="31">
        <f>IF(A14="","",会员档案!$T14)</f>
        <v/>
      </c>
      <c r="G14" s="31">
        <f>IF(A14="","",会员档案!$O14)</f>
        <v/>
      </c>
      <c r="H14" s="31">
        <f>IF(A14="","",会员档案!$P14)</f>
        <v/>
      </c>
      <c r="I14" s="55" t="n"/>
      <c r="J14" s="11" t="n"/>
      <c r="K14" s="11" t="n"/>
    </row>
    <row r="15">
      <c r="A15" s="31">
        <f>IF(会员档案!$U15="沉睡客户",会员档案!$A15,"")</f>
        <v/>
      </c>
      <c r="B15" s="31">
        <f>IF(A15="","",会员档案!$B15)</f>
        <v/>
      </c>
      <c r="C15" s="31">
        <f>IF(A15="","",会员档案!$D15)</f>
        <v/>
      </c>
      <c r="D15" s="31">
        <f>IF(A15="","",会员档案!$F15)</f>
        <v/>
      </c>
      <c r="E15" s="58">
        <f>IF(A15="","",会员档案!$S15)</f>
        <v/>
      </c>
      <c r="F15" s="31">
        <f>IF(A15="","",会员档案!$T15)</f>
        <v/>
      </c>
      <c r="G15" s="31">
        <f>IF(A15="","",会员档案!$O15)</f>
        <v/>
      </c>
      <c r="H15" s="31">
        <f>IF(A15="","",会员档案!$P15)</f>
        <v/>
      </c>
      <c r="I15" s="55" t="n"/>
      <c r="J15" s="11" t="n"/>
      <c r="K15" s="11" t="n"/>
    </row>
    <row r="16">
      <c r="A16" s="31">
        <f>IF(会员档案!$U16="沉睡客户",会员档案!$A16,"")</f>
        <v/>
      </c>
      <c r="B16" s="31">
        <f>IF(A16="","",会员档案!$B16)</f>
        <v/>
      </c>
      <c r="C16" s="31">
        <f>IF(A16="","",会员档案!$D16)</f>
        <v/>
      </c>
      <c r="D16" s="31">
        <f>IF(A16="","",会员档案!$F16)</f>
        <v/>
      </c>
      <c r="E16" s="58">
        <f>IF(A16="","",会员档案!$S16)</f>
        <v/>
      </c>
      <c r="F16" s="31">
        <f>IF(A16="","",会员档案!$T16)</f>
        <v/>
      </c>
      <c r="G16" s="31">
        <f>IF(A16="","",会员档案!$O16)</f>
        <v/>
      </c>
      <c r="H16" s="31">
        <f>IF(A16="","",会员档案!$P16)</f>
        <v/>
      </c>
      <c r="I16" s="55" t="n"/>
      <c r="J16" s="11" t="n"/>
      <c r="K16" s="11" t="n"/>
    </row>
    <row r="17">
      <c r="A17" s="31">
        <f>IF(会员档案!$U17="沉睡客户",会员档案!$A17,"")</f>
        <v/>
      </c>
      <c r="B17" s="31">
        <f>IF(A17="","",会员档案!$B17)</f>
        <v/>
      </c>
      <c r="C17" s="31">
        <f>IF(A17="","",会员档案!$D17)</f>
        <v/>
      </c>
      <c r="D17" s="31">
        <f>IF(A17="","",会员档案!$F17)</f>
        <v/>
      </c>
      <c r="E17" s="58">
        <f>IF(A17="","",会员档案!$S17)</f>
        <v/>
      </c>
      <c r="F17" s="31">
        <f>IF(A17="","",会员档案!$T17)</f>
        <v/>
      </c>
      <c r="G17" s="31">
        <f>IF(A17="","",会员档案!$O17)</f>
        <v/>
      </c>
      <c r="H17" s="31">
        <f>IF(A17="","",会员档案!$P17)</f>
        <v/>
      </c>
      <c r="I17" s="55" t="n"/>
      <c r="J17" s="11" t="n"/>
      <c r="K17" s="11" t="n"/>
    </row>
    <row r="18">
      <c r="A18" s="31">
        <f>IF(会员档案!$U18="沉睡客户",会员档案!$A18,"")</f>
        <v/>
      </c>
      <c r="B18" s="31">
        <f>IF(A18="","",会员档案!$B18)</f>
        <v/>
      </c>
      <c r="C18" s="31">
        <f>IF(A18="","",会员档案!$D18)</f>
        <v/>
      </c>
      <c r="D18" s="31">
        <f>IF(A18="","",会员档案!$F18)</f>
        <v/>
      </c>
      <c r="E18" s="58">
        <f>IF(A18="","",会员档案!$S18)</f>
        <v/>
      </c>
      <c r="F18" s="31">
        <f>IF(A18="","",会员档案!$T18)</f>
        <v/>
      </c>
      <c r="G18" s="31">
        <f>IF(A18="","",会员档案!$O18)</f>
        <v/>
      </c>
      <c r="H18" s="31">
        <f>IF(A18="","",会员档案!$P18)</f>
        <v/>
      </c>
      <c r="I18" s="55" t="n"/>
      <c r="J18" s="11" t="n"/>
      <c r="K18" s="11" t="n"/>
    </row>
    <row r="19">
      <c r="A19" s="31">
        <f>IF(会员档案!$U19="沉睡客户",会员档案!$A19,"")</f>
        <v/>
      </c>
      <c r="B19" s="31">
        <f>IF(A19="","",会员档案!$B19)</f>
        <v/>
      </c>
      <c r="C19" s="31">
        <f>IF(A19="","",会员档案!$D19)</f>
        <v/>
      </c>
      <c r="D19" s="31">
        <f>IF(A19="","",会员档案!$F19)</f>
        <v/>
      </c>
      <c r="E19" s="58">
        <f>IF(A19="","",会员档案!$S19)</f>
        <v/>
      </c>
      <c r="F19" s="31">
        <f>IF(A19="","",会员档案!$T19)</f>
        <v/>
      </c>
      <c r="G19" s="31">
        <f>IF(A19="","",会员档案!$O19)</f>
        <v/>
      </c>
      <c r="H19" s="31">
        <f>IF(A19="","",会员档案!$P19)</f>
        <v/>
      </c>
      <c r="I19" s="55" t="n"/>
      <c r="J19" s="11" t="n"/>
      <c r="K19" s="11" t="n"/>
    </row>
    <row r="20">
      <c r="A20" s="31">
        <f>IF(会员档案!$U20="沉睡客户",会员档案!$A20,"")</f>
        <v/>
      </c>
      <c r="B20" s="31">
        <f>IF(A20="","",会员档案!$B20)</f>
        <v/>
      </c>
      <c r="C20" s="31">
        <f>IF(A20="","",会员档案!$D20)</f>
        <v/>
      </c>
      <c r="D20" s="31">
        <f>IF(A20="","",会员档案!$F20)</f>
        <v/>
      </c>
      <c r="E20" s="58">
        <f>IF(A20="","",会员档案!$S20)</f>
        <v/>
      </c>
      <c r="F20" s="31">
        <f>IF(A20="","",会员档案!$T20)</f>
        <v/>
      </c>
      <c r="G20" s="31">
        <f>IF(A20="","",会员档案!$O20)</f>
        <v/>
      </c>
      <c r="H20" s="31">
        <f>IF(A20="","",会员档案!$P20)</f>
        <v/>
      </c>
      <c r="I20" s="55" t="n"/>
      <c r="J20" s="11" t="n"/>
      <c r="K20" s="11" t="n"/>
    </row>
    <row r="21">
      <c r="A21" s="31">
        <f>IF(会员档案!$U21="沉睡客户",会员档案!$A21,"")</f>
        <v/>
      </c>
      <c r="B21" s="31">
        <f>IF(A21="","",会员档案!$B21)</f>
        <v/>
      </c>
      <c r="C21" s="31">
        <f>IF(A21="","",会员档案!$D21)</f>
        <v/>
      </c>
      <c r="D21" s="31">
        <f>IF(A21="","",会员档案!$F21)</f>
        <v/>
      </c>
      <c r="E21" s="58">
        <f>IF(A21="","",会员档案!$S21)</f>
        <v/>
      </c>
      <c r="F21" s="31">
        <f>IF(A21="","",会员档案!$T21)</f>
        <v/>
      </c>
      <c r="G21" s="31">
        <f>IF(A21="","",会员档案!$O21)</f>
        <v/>
      </c>
      <c r="H21" s="31">
        <f>IF(A21="","",会员档案!$P21)</f>
        <v/>
      </c>
      <c r="I21" s="55" t="n"/>
      <c r="J21" s="11" t="n"/>
      <c r="K21" s="11" t="n"/>
    </row>
    <row r="22">
      <c r="A22" s="31">
        <f>IF(会员档案!$U22="沉睡客户",会员档案!$A22,"")</f>
        <v/>
      </c>
      <c r="B22" s="31">
        <f>IF(A22="","",会员档案!$B22)</f>
        <v/>
      </c>
      <c r="C22" s="31">
        <f>IF(A22="","",会员档案!$D22)</f>
        <v/>
      </c>
      <c r="D22" s="31">
        <f>IF(A22="","",会员档案!$F22)</f>
        <v/>
      </c>
      <c r="E22" s="58">
        <f>IF(A22="","",会员档案!$S22)</f>
        <v/>
      </c>
      <c r="F22" s="31">
        <f>IF(A22="","",会员档案!$T22)</f>
        <v/>
      </c>
      <c r="G22" s="31">
        <f>IF(A22="","",会员档案!$O22)</f>
        <v/>
      </c>
      <c r="H22" s="31">
        <f>IF(A22="","",会员档案!$P22)</f>
        <v/>
      </c>
      <c r="I22" s="55" t="n"/>
      <c r="J22" s="11" t="n"/>
      <c r="K22" s="11" t="n"/>
    </row>
    <row r="23">
      <c r="A23" s="31">
        <f>IF(会员档案!$U23="沉睡客户",会员档案!$A23,"")</f>
        <v/>
      </c>
      <c r="B23" s="31">
        <f>IF(A23="","",会员档案!$B23)</f>
        <v/>
      </c>
      <c r="C23" s="31">
        <f>IF(A23="","",会员档案!$D23)</f>
        <v/>
      </c>
      <c r="D23" s="31">
        <f>IF(A23="","",会员档案!$F23)</f>
        <v/>
      </c>
      <c r="E23" s="58">
        <f>IF(A23="","",会员档案!$S23)</f>
        <v/>
      </c>
      <c r="F23" s="31">
        <f>IF(A23="","",会员档案!$T23)</f>
        <v/>
      </c>
      <c r="G23" s="31">
        <f>IF(A23="","",会员档案!$O23)</f>
        <v/>
      </c>
      <c r="H23" s="31">
        <f>IF(A23="","",会员档案!$P23)</f>
        <v/>
      </c>
      <c r="I23" s="55" t="n"/>
      <c r="J23" s="11" t="n"/>
      <c r="K23" s="11" t="n"/>
    </row>
    <row r="24">
      <c r="A24" s="31">
        <f>IF(会员档案!$U24="沉睡客户",会员档案!$A24,"")</f>
        <v/>
      </c>
      <c r="B24" s="31">
        <f>IF(A24="","",会员档案!$B24)</f>
        <v/>
      </c>
      <c r="C24" s="31">
        <f>IF(A24="","",会员档案!$D24)</f>
        <v/>
      </c>
      <c r="D24" s="31">
        <f>IF(A24="","",会员档案!$F24)</f>
        <v/>
      </c>
      <c r="E24" s="58">
        <f>IF(A24="","",会员档案!$S24)</f>
        <v/>
      </c>
      <c r="F24" s="31">
        <f>IF(A24="","",会员档案!$T24)</f>
        <v/>
      </c>
      <c r="G24" s="31">
        <f>IF(A24="","",会员档案!$O24)</f>
        <v/>
      </c>
      <c r="H24" s="31">
        <f>IF(A24="","",会员档案!$P24)</f>
        <v/>
      </c>
      <c r="I24" s="55" t="n"/>
      <c r="J24" s="11" t="n"/>
      <c r="K24" s="11" t="n"/>
    </row>
    <row r="25">
      <c r="A25" s="31">
        <f>IF(会员档案!$U25="沉睡客户",会员档案!$A25,"")</f>
        <v/>
      </c>
      <c r="B25" s="31">
        <f>IF(A25="","",会员档案!$B25)</f>
        <v/>
      </c>
      <c r="C25" s="31">
        <f>IF(A25="","",会员档案!$D25)</f>
        <v/>
      </c>
      <c r="D25" s="31">
        <f>IF(A25="","",会员档案!$F25)</f>
        <v/>
      </c>
      <c r="E25" s="58">
        <f>IF(A25="","",会员档案!$S25)</f>
        <v/>
      </c>
      <c r="F25" s="31">
        <f>IF(A25="","",会员档案!$T25)</f>
        <v/>
      </c>
      <c r="G25" s="31">
        <f>IF(A25="","",会员档案!$O25)</f>
        <v/>
      </c>
      <c r="H25" s="31">
        <f>IF(A25="","",会员档案!$P25)</f>
        <v/>
      </c>
      <c r="I25" s="55" t="n"/>
      <c r="J25" s="11" t="n"/>
      <c r="K25" s="11" t="n"/>
    </row>
    <row r="26">
      <c r="A26" s="31">
        <f>IF(会员档案!$U26="沉睡客户",会员档案!$A26,"")</f>
        <v/>
      </c>
      <c r="B26" s="31">
        <f>IF(A26="","",会员档案!$B26)</f>
        <v/>
      </c>
      <c r="C26" s="31">
        <f>IF(A26="","",会员档案!$D26)</f>
        <v/>
      </c>
      <c r="D26" s="31">
        <f>IF(A26="","",会员档案!$F26)</f>
        <v/>
      </c>
      <c r="E26" s="58">
        <f>IF(A26="","",会员档案!$S26)</f>
        <v/>
      </c>
      <c r="F26" s="31">
        <f>IF(A26="","",会员档案!$T26)</f>
        <v/>
      </c>
      <c r="G26" s="31">
        <f>IF(A26="","",会员档案!$O26)</f>
        <v/>
      </c>
      <c r="H26" s="31">
        <f>IF(A26="","",会员档案!$P26)</f>
        <v/>
      </c>
      <c r="I26" s="55" t="n"/>
      <c r="J26" s="11" t="n"/>
      <c r="K26" s="11" t="n"/>
    </row>
    <row r="27">
      <c r="A27" s="31">
        <f>IF(会员档案!$U27="沉睡客户",会员档案!$A27,"")</f>
        <v/>
      </c>
      <c r="B27" s="31">
        <f>IF(A27="","",会员档案!$B27)</f>
        <v/>
      </c>
      <c r="C27" s="31">
        <f>IF(A27="","",会员档案!$D27)</f>
        <v/>
      </c>
      <c r="D27" s="31">
        <f>IF(A27="","",会员档案!$F27)</f>
        <v/>
      </c>
      <c r="E27" s="58">
        <f>IF(A27="","",会员档案!$S27)</f>
        <v/>
      </c>
      <c r="F27" s="31">
        <f>IF(A27="","",会员档案!$T27)</f>
        <v/>
      </c>
      <c r="G27" s="31">
        <f>IF(A27="","",会员档案!$O27)</f>
        <v/>
      </c>
      <c r="H27" s="31">
        <f>IF(A27="","",会员档案!$P27)</f>
        <v/>
      </c>
      <c r="I27" s="55" t="n"/>
      <c r="J27" s="11" t="n"/>
      <c r="K27" s="11" t="n"/>
    </row>
    <row r="28">
      <c r="A28" s="31">
        <f>IF(会员档案!$U28="沉睡客户",会员档案!$A28,"")</f>
        <v/>
      </c>
      <c r="B28" s="31">
        <f>IF(A28="","",会员档案!$B28)</f>
        <v/>
      </c>
      <c r="C28" s="31">
        <f>IF(A28="","",会员档案!$D28)</f>
        <v/>
      </c>
      <c r="D28" s="31">
        <f>IF(A28="","",会员档案!$F28)</f>
        <v/>
      </c>
      <c r="E28" s="58">
        <f>IF(A28="","",会员档案!$S28)</f>
        <v/>
      </c>
      <c r="F28" s="31">
        <f>IF(A28="","",会员档案!$T28)</f>
        <v/>
      </c>
      <c r="G28" s="31">
        <f>IF(A28="","",会员档案!$O28)</f>
        <v/>
      </c>
      <c r="H28" s="31">
        <f>IF(A28="","",会员档案!$P28)</f>
        <v/>
      </c>
      <c r="I28" s="55" t="n"/>
      <c r="J28" s="11" t="n"/>
      <c r="K28" s="11" t="n"/>
    </row>
    <row r="29">
      <c r="A29" s="31">
        <f>IF(会员档案!$U29="沉睡客户",会员档案!$A29,"")</f>
        <v/>
      </c>
      <c r="B29" s="31">
        <f>IF(A29="","",会员档案!$B29)</f>
        <v/>
      </c>
      <c r="C29" s="31">
        <f>IF(A29="","",会员档案!$D29)</f>
        <v/>
      </c>
      <c r="D29" s="31">
        <f>IF(A29="","",会员档案!$F29)</f>
        <v/>
      </c>
      <c r="E29" s="58">
        <f>IF(A29="","",会员档案!$S29)</f>
        <v/>
      </c>
      <c r="F29" s="31">
        <f>IF(A29="","",会员档案!$T29)</f>
        <v/>
      </c>
      <c r="G29" s="31">
        <f>IF(A29="","",会员档案!$O29)</f>
        <v/>
      </c>
      <c r="H29" s="31">
        <f>IF(A29="","",会员档案!$P29)</f>
        <v/>
      </c>
      <c r="I29" s="55" t="n"/>
      <c r="J29" s="11" t="n"/>
      <c r="K29" s="11" t="n"/>
    </row>
    <row r="30">
      <c r="A30" s="31">
        <f>IF(会员档案!$U30="沉睡客户",会员档案!$A30,"")</f>
        <v/>
      </c>
      <c r="B30" s="31">
        <f>IF(A30="","",会员档案!$B30)</f>
        <v/>
      </c>
      <c r="C30" s="31">
        <f>IF(A30="","",会员档案!$D30)</f>
        <v/>
      </c>
      <c r="D30" s="31">
        <f>IF(A30="","",会员档案!$F30)</f>
        <v/>
      </c>
      <c r="E30" s="58">
        <f>IF(A30="","",会员档案!$S30)</f>
        <v/>
      </c>
      <c r="F30" s="31">
        <f>IF(A30="","",会员档案!$T30)</f>
        <v/>
      </c>
      <c r="G30" s="31">
        <f>IF(A30="","",会员档案!$O30)</f>
        <v/>
      </c>
      <c r="H30" s="31">
        <f>IF(A30="","",会员档案!$P30)</f>
        <v/>
      </c>
      <c r="I30" s="55" t="n"/>
      <c r="J30" s="11" t="n"/>
      <c r="K30" s="11" t="n"/>
    </row>
    <row r="31">
      <c r="A31" s="31">
        <f>IF(会员档案!$U31="沉睡客户",会员档案!$A31,"")</f>
        <v/>
      </c>
      <c r="B31" s="31">
        <f>IF(A31="","",会员档案!$B31)</f>
        <v/>
      </c>
      <c r="C31" s="31">
        <f>IF(A31="","",会员档案!$D31)</f>
        <v/>
      </c>
      <c r="D31" s="31">
        <f>IF(A31="","",会员档案!$F31)</f>
        <v/>
      </c>
      <c r="E31" s="58">
        <f>IF(A31="","",会员档案!$S31)</f>
        <v/>
      </c>
      <c r="F31" s="31">
        <f>IF(A31="","",会员档案!$T31)</f>
        <v/>
      </c>
      <c r="G31" s="31">
        <f>IF(A31="","",会员档案!$O31)</f>
        <v/>
      </c>
      <c r="H31" s="31">
        <f>IF(A31="","",会员档案!$P31)</f>
        <v/>
      </c>
      <c r="I31" s="55" t="n"/>
      <c r="J31" s="11" t="n"/>
      <c r="K31" s="11" t="n"/>
    </row>
    <row r="32">
      <c r="A32" s="31">
        <f>IF(会员档案!$U32="沉睡客户",会员档案!$A32,"")</f>
        <v/>
      </c>
      <c r="B32" s="31">
        <f>IF(A32="","",会员档案!$B32)</f>
        <v/>
      </c>
      <c r="C32" s="31">
        <f>IF(A32="","",会员档案!$D32)</f>
        <v/>
      </c>
      <c r="D32" s="31">
        <f>IF(A32="","",会员档案!$F32)</f>
        <v/>
      </c>
      <c r="E32" s="58">
        <f>IF(A32="","",会员档案!$S32)</f>
        <v/>
      </c>
      <c r="F32" s="31">
        <f>IF(A32="","",会员档案!$T32)</f>
        <v/>
      </c>
      <c r="G32" s="31">
        <f>IF(A32="","",会员档案!$O32)</f>
        <v/>
      </c>
      <c r="H32" s="31">
        <f>IF(A32="","",会员档案!$P32)</f>
        <v/>
      </c>
      <c r="I32" s="55" t="n"/>
      <c r="J32" s="11" t="n"/>
      <c r="K32" s="11" t="n"/>
    </row>
    <row r="33">
      <c r="A33" s="31">
        <f>IF(会员档案!$U33="沉睡客户",会员档案!$A33,"")</f>
        <v/>
      </c>
      <c r="B33" s="31">
        <f>IF(A33="","",会员档案!$B33)</f>
        <v/>
      </c>
      <c r="C33" s="31">
        <f>IF(A33="","",会员档案!$D33)</f>
        <v/>
      </c>
      <c r="D33" s="31">
        <f>IF(A33="","",会员档案!$F33)</f>
        <v/>
      </c>
      <c r="E33" s="58">
        <f>IF(A33="","",会员档案!$S33)</f>
        <v/>
      </c>
      <c r="F33" s="31">
        <f>IF(A33="","",会员档案!$T33)</f>
        <v/>
      </c>
      <c r="G33" s="31">
        <f>IF(A33="","",会员档案!$O33)</f>
        <v/>
      </c>
      <c r="H33" s="31">
        <f>IF(A33="","",会员档案!$P33)</f>
        <v/>
      </c>
      <c r="I33" s="55" t="n"/>
      <c r="J33" s="11" t="n"/>
      <c r="K33" s="11" t="n"/>
    </row>
    <row r="34">
      <c r="A34" s="31">
        <f>IF(会员档案!$U34="沉睡客户",会员档案!$A34,"")</f>
        <v/>
      </c>
      <c r="B34" s="31">
        <f>IF(A34="","",会员档案!$B34)</f>
        <v/>
      </c>
      <c r="C34" s="31">
        <f>IF(A34="","",会员档案!$D34)</f>
        <v/>
      </c>
      <c r="D34" s="31">
        <f>IF(A34="","",会员档案!$F34)</f>
        <v/>
      </c>
      <c r="E34" s="58">
        <f>IF(A34="","",会员档案!$S34)</f>
        <v/>
      </c>
      <c r="F34" s="31">
        <f>IF(A34="","",会员档案!$T34)</f>
        <v/>
      </c>
      <c r="G34" s="31">
        <f>IF(A34="","",会员档案!$O34)</f>
        <v/>
      </c>
      <c r="H34" s="31">
        <f>IF(A34="","",会员档案!$P34)</f>
        <v/>
      </c>
      <c r="I34" s="55" t="n"/>
      <c r="J34" s="11" t="n"/>
      <c r="K34" s="11" t="n"/>
    </row>
    <row r="35">
      <c r="A35" s="31">
        <f>IF(会员档案!$U35="沉睡客户",会员档案!$A35,"")</f>
        <v/>
      </c>
      <c r="B35" s="31">
        <f>IF(A35="","",会员档案!$B35)</f>
        <v/>
      </c>
      <c r="C35" s="31">
        <f>IF(A35="","",会员档案!$D35)</f>
        <v/>
      </c>
      <c r="D35" s="31">
        <f>IF(A35="","",会员档案!$F35)</f>
        <v/>
      </c>
      <c r="E35" s="58">
        <f>IF(A35="","",会员档案!$S35)</f>
        <v/>
      </c>
      <c r="F35" s="31">
        <f>IF(A35="","",会员档案!$T35)</f>
        <v/>
      </c>
      <c r="G35" s="31">
        <f>IF(A35="","",会员档案!$O35)</f>
        <v/>
      </c>
      <c r="H35" s="31">
        <f>IF(A35="","",会员档案!$P35)</f>
        <v/>
      </c>
      <c r="I35" s="55" t="n"/>
      <c r="J35" s="11" t="n"/>
      <c r="K35" s="11" t="n"/>
    </row>
    <row r="36">
      <c r="A36" s="31">
        <f>IF(会员档案!$U36="沉睡客户",会员档案!$A36,"")</f>
        <v/>
      </c>
      <c r="B36" s="31">
        <f>IF(A36="","",会员档案!$B36)</f>
        <v/>
      </c>
      <c r="C36" s="31">
        <f>IF(A36="","",会员档案!$D36)</f>
        <v/>
      </c>
      <c r="D36" s="31">
        <f>IF(A36="","",会员档案!$F36)</f>
        <v/>
      </c>
      <c r="E36" s="58">
        <f>IF(A36="","",会员档案!$S36)</f>
        <v/>
      </c>
      <c r="F36" s="31">
        <f>IF(A36="","",会员档案!$T36)</f>
        <v/>
      </c>
      <c r="G36" s="31">
        <f>IF(A36="","",会员档案!$O36)</f>
        <v/>
      </c>
      <c r="H36" s="31">
        <f>IF(A36="","",会员档案!$P36)</f>
        <v/>
      </c>
      <c r="I36" s="55" t="n"/>
      <c r="J36" s="11" t="n"/>
      <c r="K36" s="11" t="n"/>
    </row>
    <row r="37">
      <c r="A37" s="31">
        <f>IF(会员档案!$U37="沉睡客户",会员档案!$A37,"")</f>
        <v/>
      </c>
      <c r="B37" s="31">
        <f>IF(A37="","",会员档案!$B37)</f>
        <v/>
      </c>
      <c r="C37" s="31">
        <f>IF(A37="","",会员档案!$D37)</f>
        <v/>
      </c>
      <c r="D37" s="31">
        <f>IF(A37="","",会员档案!$F37)</f>
        <v/>
      </c>
      <c r="E37" s="58">
        <f>IF(A37="","",会员档案!$S37)</f>
        <v/>
      </c>
      <c r="F37" s="31">
        <f>IF(A37="","",会员档案!$T37)</f>
        <v/>
      </c>
      <c r="G37" s="31">
        <f>IF(A37="","",会员档案!$O37)</f>
        <v/>
      </c>
      <c r="H37" s="31">
        <f>IF(A37="","",会员档案!$P37)</f>
        <v/>
      </c>
      <c r="I37" s="55" t="n"/>
      <c r="J37" s="11" t="n"/>
      <c r="K37" s="11" t="n"/>
    </row>
    <row r="38">
      <c r="A38" s="31">
        <f>IF(会员档案!$U38="沉睡客户",会员档案!$A38,"")</f>
        <v/>
      </c>
      <c r="B38" s="31">
        <f>IF(A38="","",会员档案!$B38)</f>
        <v/>
      </c>
      <c r="C38" s="31">
        <f>IF(A38="","",会员档案!$D38)</f>
        <v/>
      </c>
      <c r="D38" s="31">
        <f>IF(A38="","",会员档案!$F38)</f>
        <v/>
      </c>
      <c r="E38" s="58">
        <f>IF(A38="","",会员档案!$S38)</f>
        <v/>
      </c>
      <c r="F38" s="31">
        <f>IF(A38="","",会员档案!$T38)</f>
        <v/>
      </c>
      <c r="G38" s="31">
        <f>IF(A38="","",会员档案!$O38)</f>
        <v/>
      </c>
      <c r="H38" s="31">
        <f>IF(A38="","",会员档案!$P38)</f>
        <v/>
      </c>
      <c r="I38" s="55" t="n"/>
      <c r="J38" s="11" t="n"/>
      <c r="K38" s="11" t="n"/>
    </row>
    <row r="39">
      <c r="A39" s="31">
        <f>IF(会员档案!$U39="沉睡客户",会员档案!$A39,"")</f>
        <v/>
      </c>
      <c r="B39" s="31">
        <f>IF(A39="","",会员档案!$B39)</f>
        <v/>
      </c>
      <c r="C39" s="31">
        <f>IF(A39="","",会员档案!$D39)</f>
        <v/>
      </c>
      <c r="D39" s="31">
        <f>IF(A39="","",会员档案!$F39)</f>
        <v/>
      </c>
      <c r="E39" s="58">
        <f>IF(A39="","",会员档案!$S39)</f>
        <v/>
      </c>
      <c r="F39" s="31">
        <f>IF(A39="","",会员档案!$T39)</f>
        <v/>
      </c>
      <c r="G39" s="31">
        <f>IF(A39="","",会员档案!$O39)</f>
        <v/>
      </c>
      <c r="H39" s="31">
        <f>IF(A39="","",会员档案!$P39)</f>
        <v/>
      </c>
      <c r="I39" s="55" t="n"/>
      <c r="J39" s="11" t="n"/>
      <c r="K39" s="11" t="n"/>
    </row>
    <row r="40">
      <c r="A40" s="31">
        <f>IF(会员档案!$U40="沉睡客户",会员档案!$A40,"")</f>
        <v/>
      </c>
      <c r="B40" s="31">
        <f>IF(A40="","",会员档案!$B40)</f>
        <v/>
      </c>
      <c r="C40" s="31">
        <f>IF(A40="","",会员档案!$D40)</f>
        <v/>
      </c>
      <c r="D40" s="31">
        <f>IF(A40="","",会员档案!$F40)</f>
        <v/>
      </c>
      <c r="E40" s="58">
        <f>IF(A40="","",会员档案!$S40)</f>
        <v/>
      </c>
      <c r="F40" s="31">
        <f>IF(A40="","",会员档案!$T40)</f>
        <v/>
      </c>
      <c r="G40" s="31">
        <f>IF(A40="","",会员档案!$O40)</f>
        <v/>
      </c>
      <c r="H40" s="31">
        <f>IF(A40="","",会员档案!$P40)</f>
        <v/>
      </c>
      <c r="I40" s="55" t="n"/>
      <c r="J40" s="11" t="n"/>
      <c r="K40" s="11" t="n"/>
    </row>
    <row r="41">
      <c r="A41" s="31">
        <f>IF(会员档案!$U41="沉睡客户",会员档案!$A41,"")</f>
        <v/>
      </c>
      <c r="B41" s="31">
        <f>IF(A41="","",会员档案!$B41)</f>
        <v/>
      </c>
      <c r="C41" s="31">
        <f>IF(A41="","",会员档案!$D41)</f>
        <v/>
      </c>
      <c r="D41" s="31">
        <f>IF(A41="","",会员档案!$F41)</f>
        <v/>
      </c>
      <c r="E41" s="58">
        <f>IF(A41="","",会员档案!$S41)</f>
        <v/>
      </c>
      <c r="F41" s="31">
        <f>IF(A41="","",会员档案!$T41)</f>
        <v/>
      </c>
      <c r="G41" s="31">
        <f>IF(A41="","",会员档案!$O41)</f>
        <v/>
      </c>
      <c r="H41" s="31">
        <f>IF(A41="","",会员档案!$P41)</f>
        <v/>
      </c>
      <c r="I41" s="55" t="n"/>
      <c r="J41" s="11" t="n"/>
      <c r="K41" s="11" t="n"/>
    </row>
    <row r="42">
      <c r="A42" s="31">
        <f>IF(会员档案!$U42="沉睡客户",会员档案!$A42,"")</f>
        <v/>
      </c>
      <c r="B42" s="31">
        <f>IF(A42="","",会员档案!$B42)</f>
        <v/>
      </c>
      <c r="C42" s="31">
        <f>IF(A42="","",会员档案!$D42)</f>
        <v/>
      </c>
      <c r="D42" s="31">
        <f>IF(A42="","",会员档案!$F42)</f>
        <v/>
      </c>
      <c r="E42" s="58">
        <f>IF(A42="","",会员档案!$S42)</f>
        <v/>
      </c>
      <c r="F42" s="31">
        <f>IF(A42="","",会员档案!$T42)</f>
        <v/>
      </c>
      <c r="G42" s="31">
        <f>IF(A42="","",会员档案!$O42)</f>
        <v/>
      </c>
      <c r="H42" s="31">
        <f>IF(A42="","",会员档案!$P42)</f>
        <v/>
      </c>
      <c r="I42" s="55" t="n"/>
      <c r="J42" s="11" t="n"/>
      <c r="K42" s="11" t="n"/>
    </row>
    <row r="43">
      <c r="A43" s="31">
        <f>IF(会员档案!$U43="沉睡客户",会员档案!$A43,"")</f>
        <v/>
      </c>
      <c r="B43" s="31">
        <f>IF(A43="","",会员档案!$B43)</f>
        <v/>
      </c>
      <c r="C43" s="31">
        <f>IF(A43="","",会员档案!$D43)</f>
        <v/>
      </c>
      <c r="D43" s="31">
        <f>IF(A43="","",会员档案!$F43)</f>
        <v/>
      </c>
      <c r="E43" s="58">
        <f>IF(A43="","",会员档案!$S43)</f>
        <v/>
      </c>
      <c r="F43" s="31">
        <f>IF(A43="","",会员档案!$T43)</f>
        <v/>
      </c>
      <c r="G43" s="31">
        <f>IF(A43="","",会员档案!$O43)</f>
        <v/>
      </c>
      <c r="H43" s="31">
        <f>IF(A43="","",会员档案!$P43)</f>
        <v/>
      </c>
      <c r="I43" s="55" t="n"/>
      <c r="J43" s="11" t="n"/>
      <c r="K43" s="11" t="n"/>
    </row>
    <row r="44">
      <c r="A44" s="31">
        <f>IF(会员档案!$U44="沉睡客户",会员档案!$A44,"")</f>
        <v/>
      </c>
      <c r="B44" s="31">
        <f>IF(A44="","",会员档案!$B44)</f>
        <v/>
      </c>
      <c r="C44" s="31">
        <f>IF(A44="","",会员档案!$D44)</f>
        <v/>
      </c>
      <c r="D44" s="31">
        <f>IF(A44="","",会员档案!$F44)</f>
        <v/>
      </c>
      <c r="E44" s="58">
        <f>IF(A44="","",会员档案!$S44)</f>
        <v/>
      </c>
      <c r="F44" s="31">
        <f>IF(A44="","",会员档案!$T44)</f>
        <v/>
      </c>
      <c r="G44" s="31">
        <f>IF(A44="","",会员档案!$O44)</f>
        <v/>
      </c>
      <c r="H44" s="31">
        <f>IF(A44="","",会员档案!$P44)</f>
        <v/>
      </c>
      <c r="I44" s="55" t="n"/>
      <c r="J44" s="11" t="n"/>
      <c r="K44" s="11" t="n"/>
    </row>
    <row r="45">
      <c r="A45" s="31">
        <f>IF(会员档案!$U45="沉睡客户",会员档案!$A45,"")</f>
        <v/>
      </c>
      <c r="B45" s="31">
        <f>IF(A45="","",会员档案!$B45)</f>
        <v/>
      </c>
      <c r="C45" s="31">
        <f>IF(A45="","",会员档案!$D45)</f>
        <v/>
      </c>
      <c r="D45" s="31">
        <f>IF(A45="","",会员档案!$F45)</f>
        <v/>
      </c>
      <c r="E45" s="58">
        <f>IF(A45="","",会员档案!$S45)</f>
        <v/>
      </c>
      <c r="F45" s="31">
        <f>IF(A45="","",会员档案!$T45)</f>
        <v/>
      </c>
      <c r="G45" s="31">
        <f>IF(A45="","",会员档案!$O45)</f>
        <v/>
      </c>
      <c r="H45" s="31">
        <f>IF(A45="","",会员档案!$P45)</f>
        <v/>
      </c>
      <c r="I45" s="55" t="n"/>
      <c r="J45" s="11" t="n"/>
      <c r="K45" s="11" t="n"/>
    </row>
    <row r="46">
      <c r="A46" s="31">
        <f>IF(会员档案!$U46="沉睡客户",会员档案!$A46,"")</f>
        <v/>
      </c>
      <c r="B46" s="31">
        <f>IF(A46="","",会员档案!$B46)</f>
        <v/>
      </c>
      <c r="C46" s="31">
        <f>IF(A46="","",会员档案!$D46)</f>
        <v/>
      </c>
      <c r="D46" s="31">
        <f>IF(A46="","",会员档案!$F46)</f>
        <v/>
      </c>
      <c r="E46" s="58">
        <f>IF(A46="","",会员档案!$S46)</f>
        <v/>
      </c>
      <c r="F46" s="31">
        <f>IF(A46="","",会员档案!$T46)</f>
        <v/>
      </c>
      <c r="G46" s="31">
        <f>IF(A46="","",会员档案!$O46)</f>
        <v/>
      </c>
      <c r="H46" s="31">
        <f>IF(A46="","",会员档案!$P46)</f>
        <v/>
      </c>
      <c r="I46" s="55" t="n"/>
      <c r="J46" s="11" t="n"/>
      <c r="K46" s="11" t="n"/>
    </row>
    <row r="47">
      <c r="A47" s="31">
        <f>IF(会员档案!$U47="沉睡客户",会员档案!$A47,"")</f>
        <v/>
      </c>
      <c r="B47" s="31">
        <f>IF(A47="","",会员档案!$B47)</f>
        <v/>
      </c>
      <c r="C47" s="31">
        <f>IF(A47="","",会员档案!$D47)</f>
        <v/>
      </c>
      <c r="D47" s="31">
        <f>IF(A47="","",会员档案!$F47)</f>
        <v/>
      </c>
      <c r="E47" s="58">
        <f>IF(A47="","",会员档案!$S47)</f>
        <v/>
      </c>
      <c r="F47" s="31">
        <f>IF(A47="","",会员档案!$T47)</f>
        <v/>
      </c>
      <c r="G47" s="31">
        <f>IF(A47="","",会员档案!$O47)</f>
        <v/>
      </c>
      <c r="H47" s="31">
        <f>IF(A47="","",会员档案!$P47)</f>
        <v/>
      </c>
      <c r="I47" s="55" t="n"/>
      <c r="J47" s="11" t="n"/>
      <c r="K47" s="11" t="n"/>
    </row>
    <row r="48">
      <c r="A48" s="31">
        <f>IF(会员档案!$U48="沉睡客户",会员档案!$A48,"")</f>
        <v/>
      </c>
      <c r="B48" s="31">
        <f>IF(A48="","",会员档案!$B48)</f>
        <v/>
      </c>
      <c r="C48" s="31">
        <f>IF(A48="","",会员档案!$D48)</f>
        <v/>
      </c>
      <c r="D48" s="31">
        <f>IF(A48="","",会员档案!$F48)</f>
        <v/>
      </c>
      <c r="E48" s="58">
        <f>IF(A48="","",会员档案!$S48)</f>
        <v/>
      </c>
      <c r="F48" s="31">
        <f>IF(A48="","",会员档案!$T48)</f>
        <v/>
      </c>
      <c r="G48" s="31">
        <f>IF(A48="","",会员档案!$O48)</f>
        <v/>
      </c>
      <c r="H48" s="31">
        <f>IF(A48="","",会员档案!$P48)</f>
        <v/>
      </c>
      <c r="I48" s="55" t="n"/>
      <c r="J48" s="11" t="n"/>
      <c r="K48" s="11" t="n"/>
    </row>
    <row r="49">
      <c r="A49" s="31">
        <f>IF(会员档案!$U49="沉睡客户",会员档案!$A49,"")</f>
        <v/>
      </c>
      <c r="B49" s="31">
        <f>IF(A49="","",会员档案!$B49)</f>
        <v/>
      </c>
      <c r="C49" s="31">
        <f>IF(A49="","",会员档案!$D49)</f>
        <v/>
      </c>
      <c r="D49" s="31">
        <f>IF(A49="","",会员档案!$F49)</f>
        <v/>
      </c>
      <c r="E49" s="58">
        <f>IF(A49="","",会员档案!$S49)</f>
        <v/>
      </c>
      <c r="F49" s="31">
        <f>IF(A49="","",会员档案!$T49)</f>
        <v/>
      </c>
      <c r="G49" s="31">
        <f>IF(A49="","",会员档案!$O49)</f>
        <v/>
      </c>
      <c r="H49" s="31">
        <f>IF(A49="","",会员档案!$P49)</f>
        <v/>
      </c>
      <c r="I49" s="55" t="n"/>
      <c r="J49" s="11" t="n"/>
      <c r="K49" s="11" t="n"/>
    </row>
    <row r="50">
      <c r="A50" s="31">
        <f>IF(会员档案!$U50="沉睡客户",会员档案!$A50,"")</f>
        <v/>
      </c>
      <c r="B50" s="31">
        <f>IF(A50="","",会员档案!$B50)</f>
        <v/>
      </c>
      <c r="C50" s="31">
        <f>IF(A50="","",会员档案!$D50)</f>
        <v/>
      </c>
      <c r="D50" s="31">
        <f>IF(A50="","",会员档案!$F50)</f>
        <v/>
      </c>
      <c r="E50" s="58">
        <f>IF(A50="","",会员档案!$S50)</f>
        <v/>
      </c>
      <c r="F50" s="31">
        <f>IF(A50="","",会员档案!$T50)</f>
        <v/>
      </c>
      <c r="G50" s="31">
        <f>IF(A50="","",会员档案!$O50)</f>
        <v/>
      </c>
      <c r="H50" s="31">
        <f>IF(A50="","",会员档案!$P50)</f>
        <v/>
      </c>
      <c r="I50" s="55" t="n"/>
      <c r="J50" s="11" t="n"/>
      <c r="K50" s="11" t="n"/>
    </row>
    <row r="51">
      <c r="A51" s="31">
        <f>IF(会员档案!$U51="沉睡客户",会员档案!$A51,"")</f>
        <v/>
      </c>
      <c r="B51" s="31">
        <f>IF(A51="","",会员档案!$B51)</f>
        <v/>
      </c>
      <c r="C51" s="31">
        <f>IF(A51="","",会员档案!$D51)</f>
        <v/>
      </c>
      <c r="D51" s="31">
        <f>IF(A51="","",会员档案!$F51)</f>
        <v/>
      </c>
      <c r="E51" s="58">
        <f>IF(A51="","",会员档案!$S51)</f>
        <v/>
      </c>
      <c r="F51" s="31">
        <f>IF(A51="","",会员档案!$T51)</f>
        <v/>
      </c>
      <c r="G51" s="31">
        <f>IF(A51="","",会员档案!$O51)</f>
        <v/>
      </c>
      <c r="H51" s="31">
        <f>IF(A51="","",会员档案!$P51)</f>
        <v/>
      </c>
      <c r="I51" s="55" t="n"/>
      <c r="J51" s="11" t="n"/>
      <c r="K51" s="11" t="n"/>
    </row>
    <row r="52">
      <c r="A52" s="31">
        <f>IF(会员档案!$U52="沉睡客户",会员档案!$A52,"")</f>
        <v/>
      </c>
      <c r="B52" s="31">
        <f>IF(A52="","",会员档案!$B52)</f>
        <v/>
      </c>
      <c r="C52" s="31">
        <f>IF(A52="","",会员档案!$D52)</f>
        <v/>
      </c>
      <c r="D52" s="31">
        <f>IF(A52="","",会员档案!$F52)</f>
        <v/>
      </c>
      <c r="E52" s="58">
        <f>IF(A52="","",会员档案!$S52)</f>
        <v/>
      </c>
      <c r="F52" s="31">
        <f>IF(A52="","",会员档案!$T52)</f>
        <v/>
      </c>
      <c r="G52" s="31">
        <f>IF(A52="","",会员档案!$O52)</f>
        <v/>
      </c>
      <c r="H52" s="31">
        <f>IF(A52="","",会员档案!$P52)</f>
        <v/>
      </c>
      <c r="I52" s="55" t="n"/>
      <c r="J52" s="11" t="n"/>
      <c r="K52" s="11" t="n"/>
    </row>
    <row r="53">
      <c r="A53" s="31">
        <f>IF(会员档案!$U53="沉睡客户",会员档案!$A53,"")</f>
        <v/>
      </c>
      <c r="B53" s="31">
        <f>IF(A53="","",会员档案!$B53)</f>
        <v/>
      </c>
      <c r="C53" s="31">
        <f>IF(A53="","",会员档案!$D53)</f>
        <v/>
      </c>
      <c r="D53" s="31">
        <f>IF(A53="","",会员档案!$F53)</f>
        <v/>
      </c>
      <c r="E53" s="58">
        <f>IF(A53="","",会员档案!$S53)</f>
        <v/>
      </c>
      <c r="F53" s="31">
        <f>IF(A53="","",会员档案!$T53)</f>
        <v/>
      </c>
      <c r="G53" s="31">
        <f>IF(A53="","",会员档案!$O53)</f>
        <v/>
      </c>
      <c r="H53" s="31">
        <f>IF(A53="","",会员档案!$P53)</f>
        <v/>
      </c>
      <c r="I53" s="55" t="n"/>
      <c r="J53" s="11" t="n"/>
      <c r="K53" s="11" t="n"/>
    </row>
    <row r="54">
      <c r="A54" s="31">
        <f>IF(会员档案!$U54="沉睡客户",会员档案!$A54,"")</f>
        <v/>
      </c>
      <c r="B54" s="31">
        <f>IF(A54="","",会员档案!$B54)</f>
        <v/>
      </c>
      <c r="C54" s="31">
        <f>IF(A54="","",会员档案!$D54)</f>
        <v/>
      </c>
      <c r="D54" s="31">
        <f>IF(A54="","",会员档案!$F54)</f>
        <v/>
      </c>
      <c r="E54" s="58">
        <f>IF(A54="","",会员档案!$S54)</f>
        <v/>
      </c>
      <c r="F54" s="31">
        <f>IF(A54="","",会员档案!$T54)</f>
        <v/>
      </c>
      <c r="G54" s="31">
        <f>IF(A54="","",会员档案!$O54)</f>
        <v/>
      </c>
      <c r="H54" s="31">
        <f>IF(A54="","",会员档案!$P54)</f>
        <v/>
      </c>
      <c r="I54" s="55" t="n"/>
      <c r="J54" s="11" t="n"/>
      <c r="K54" s="11" t="n"/>
    </row>
    <row r="55">
      <c r="A55" s="31">
        <f>IF(会员档案!$U55="沉睡客户",会员档案!$A55,"")</f>
        <v/>
      </c>
      <c r="B55" s="31">
        <f>IF(A55="","",会员档案!$B55)</f>
        <v/>
      </c>
      <c r="C55" s="31">
        <f>IF(A55="","",会员档案!$D55)</f>
        <v/>
      </c>
      <c r="D55" s="31">
        <f>IF(A55="","",会员档案!$F55)</f>
        <v/>
      </c>
      <c r="E55" s="58">
        <f>IF(A55="","",会员档案!$S55)</f>
        <v/>
      </c>
      <c r="F55" s="31">
        <f>IF(A55="","",会员档案!$T55)</f>
        <v/>
      </c>
      <c r="G55" s="31">
        <f>IF(A55="","",会员档案!$O55)</f>
        <v/>
      </c>
      <c r="H55" s="31">
        <f>IF(A55="","",会员档案!$P55)</f>
        <v/>
      </c>
      <c r="I55" s="55" t="n"/>
      <c r="J55" s="11" t="n"/>
      <c r="K55" s="11" t="n"/>
    </row>
    <row r="56">
      <c r="A56" s="31">
        <f>IF(会员档案!$U56="沉睡客户",会员档案!$A56,"")</f>
        <v/>
      </c>
      <c r="B56" s="31">
        <f>IF(A56="","",会员档案!$B56)</f>
        <v/>
      </c>
      <c r="C56" s="31">
        <f>IF(A56="","",会员档案!$D56)</f>
        <v/>
      </c>
      <c r="D56" s="31">
        <f>IF(A56="","",会员档案!$F56)</f>
        <v/>
      </c>
      <c r="E56" s="58">
        <f>IF(A56="","",会员档案!$S56)</f>
        <v/>
      </c>
      <c r="F56" s="31">
        <f>IF(A56="","",会员档案!$T56)</f>
        <v/>
      </c>
      <c r="G56" s="31">
        <f>IF(A56="","",会员档案!$O56)</f>
        <v/>
      </c>
      <c r="H56" s="31">
        <f>IF(A56="","",会员档案!$P56)</f>
        <v/>
      </c>
      <c r="I56" s="55" t="n"/>
      <c r="J56" s="11" t="n"/>
      <c r="K56" s="11" t="n"/>
    </row>
    <row r="57">
      <c r="A57" s="31">
        <f>IF(会员档案!$U57="沉睡客户",会员档案!$A57,"")</f>
        <v/>
      </c>
      <c r="B57" s="31">
        <f>IF(A57="","",会员档案!$B57)</f>
        <v/>
      </c>
      <c r="C57" s="31">
        <f>IF(A57="","",会员档案!$D57)</f>
        <v/>
      </c>
      <c r="D57" s="31">
        <f>IF(A57="","",会员档案!$F57)</f>
        <v/>
      </c>
      <c r="E57" s="58">
        <f>IF(A57="","",会员档案!$S57)</f>
        <v/>
      </c>
      <c r="F57" s="31">
        <f>IF(A57="","",会员档案!$T57)</f>
        <v/>
      </c>
      <c r="G57" s="31">
        <f>IF(A57="","",会员档案!$O57)</f>
        <v/>
      </c>
      <c r="H57" s="31">
        <f>IF(A57="","",会员档案!$P57)</f>
        <v/>
      </c>
      <c r="I57" s="55" t="n"/>
      <c r="J57" s="11" t="n"/>
      <c r="K57" s="11" t="n"/>
    </row>
    <row r="58">
      <c r="A58" s="31">
        <f>IF(会员档案!$U58="沉睡客户",会员档案!$A58,"")</f>
        <v/>
      </c>
      <c r="B58" s="31">
        <f>IF(A58="","",会员档案!$B58)</f>
        <v/>
      </c>
      <c r="C58" s="31">
        <f>IF(A58="","",会员档案!$D58)</f>
        <v/>
      </c>
      <c r="D58" s="31">
        <f>IF(A58="","",会员档案!$F58)</f>
        <v/>
      </c>
      <c r="E58" s="58">
        <f>IF(A58="","",会员档案!$S58)</f>
        <v/>
      </c>
      <c r="F58" s="31">
        <f>IF(A58="","",会员档案!$T58)</f>
        <v/>
      </c>
      <c r="G58" s="31">
        <f>IF(A58="","",会员档案!$O58)</f>
        <v/>
      </c>
      <c r="H58" s="31">
        <f>IF(A58="","",会员档案!$P58)</f>
        <v/>
      </c>
      <c r="I58" s="55" t="n"/>
      <c r="J58" s="11" t="n"/>
      <c r="K58" s="11" t="n"/>
    </row>
    <row r="59">
      <c r="A59" s="31">
        <f>IF(会员档案!$U59="沉睡客户",会员档案!$A59,"")</f>
        <v/>
      </c>
      <c r="B59" s="31">
        <f>IF(A59="","",会员档案!$B59)</f>
        <v/>
      </c>
      <c r="C59" s="31">
        <f>IF(A59="","",会员档案!$D59)</f>
        <v/>
      </c>
      <c r="D59" s="31">
        <f>IF(A59="","",会员档案!$F59)</f>
        <v/>
      </c>
      <c r="E59" s="58">
        <f>IF(A59="","",会员档案!$S59)</f>
        <v/>
      </c>
      <c r="F59" s="31">
        <f>IF(A59="","",会员档案!$T59)</f>
        <v/>
      </c>
      <c r="G59" s="31">
        <f>IF(A59="","",会员档案!$O59)</f>
        <v/>
      </c>
      <c r="H59" s="31">
        <f>IF(A59="","",会员档案!$P59)</f>
        <v/>
      </c>
      <c r="I59" s="55" t="n"/>
      <c r="J59" s="11" t="n"/>
      <c r="K59" s="11" t="n"/>
    </row>
    <row r="60">
      <c r="A60" s="31">
        <f>IF(会员档案!$U60="沉睡客户",会员档案!$A60,"")</f>
        <v/>
      </c>
      <c r="B60" s="31">
        <f>IF(A60="","",会员档案!$B60)</f>
        <v/>
      </c>
      <c r="C60" s="31">
        <f>IF(A60="","",会员档案!$D60)</f>
        <v/>
      </c>
      <c r="D60" s="31">
        <f>IF(A60="","",会员档案!$F60)</f>
        <v/>
      </c>
      <c r="E60" s="58">
        <f>IF(A60="","",会员档案!$S60)</f>
        <v/>
      </c>
      <c r="F60" s="31">
        <f>IF(A60="","",会员档案!$T60)</f>
        <v/>
      </c>
      <c r="G60" s="31">
        <f>IF(A60="","",会员档案!$O60)</f>
        <v/>
      </c>
      <c r="H60" s="31">
        <f>IF(A60="","",会员档案!$P60)</f>
        <v/>
      </c>
      <c r="I60" s="55" t="n"/>
      <c r="J60" s="11" t="n"/>
      <c r="K60" s="11" t="n"/>
    </row>
    <row r="61">
      <c r="A61" s="31">
        <f>IF(会员档案!$U61="沉睡客户",会员档案!$A61,"")</f>
        <v/>
      </c>
      <c r="B61" s="31">
        <f>IF(A61="","",会员档案!$B61)</f>
        <v/>
      </c>
      <c r="C61" s="31">
        <f>IF(A61="","",会员档案!$D61)</f>
        <v/>
      </c>
      <c r="D61" s="31">
        <f>IF(A61="","",会员档案!$F61)</f>
        <v/>
      </c>
      <c r="E61" s="58">
        <f>IF(A61="","",会员档案!$S61)</f>
        <v/>
      </c>
      <c r="F61" s="31">
        <f>IF(A61="","",会员档案!$T61)</f>
        <v/>
      </c>
      <c r="G61" s="31">
        <f>IF(A61="","",会员档案!$O61)</f>
        <v/>
      </c>
      <c r="H61" s="31">
        <f>IF(A61="","",会员档案!$P61)</f>
        <v/>
      </c>
      <c r="I61" s="55" t="n"/>
      <c r="J61" s="11" t="n"/>
      <c r="K61" s="11" t="n"/>
    </row>
    <row r="62">
      <c r="A62" s="31">
        <f>IF(会员档案!$U62="沉睡客户",会员档案!$A62,"")</f>
        <v/>
      </c>
      <c r="B62" s="31">
        <f>IF(A62="","",会员档案!$B62)</f>
        <v/>
      </c>
      <c r="C62" s="31">
        <f>IF(A62="","",会员档案!$D62)</f>
        <v/>
      </c>
      <c r="D62" s="31">
        <f>IF(A62="","",会员档案!$F62)</f>
        <v/>
      </c>
      <c r="E62" s="58">
        <f>IF(A62="","",会员档案!$S62)</f>
        <v/>
      </c>
      <c r="F62" s="31">
        <f>IF(A62="","",会员档案!$T62)</f>
        <v/>
      </c>
      <c r="G62" s="31">
        <f>IF(A62="","",会员档案!$O62)</f>
        <v/>
      </c>
      <c r="H62" s="31">
        <f>IF(A62="","",会员档案!$P62)</f>
        <v/>
      </c>
      <c r="I62" s="55" t="n"/>
      <c r="J62" s="11" t="n"/>
      <c r="K62" s="11" t="n"/>
    </row>
    <row r="63">
      <c r="A63" s="31">
        <f>IF(会员档案!$U63="沉睡客户",会员档案!$A63,"")</f>
        <v/>
      </c>
      <c r="B63" s="31">
        <f>IF(A63="","",会员档案!$B63)</f>
        <v/>
      </c>
      <c r="C63" s="31">
        <f>IF(A63="","",会员档案!$D63)</f>
        <v/>
      </c>
      <c r="D63" s="31">
        <f>IF(A63="","",会员档案!$F63)</f>
        <v/>
      </c>
      <c r="E63" s="58">
        <f>IF(A63="","",会员档案!$S63)</f>
        <v/>
      </c>
      <c r="F63" s="31">
        <f>IF(A63="","",会员档案!$T63)</f>
        <v/>
      </c>
      <c r="G63" s="31">
        <f>IF(A63="","",会员档案!$O63)</f>
        <v/>
      </c>
      <c r="H63" s="31">
        <f>IF(A63="","",会员档案!$P63)</f>
        <v/>
      </c>
      <c r="I63" s="55" t="n"/>
      <c r="J63" s="11" t="n"/>
      <c r="K63" s="11" t="n"/>
    </row>
    <row r="64">
      <c r="A64" s="31">
        <f>IF(会员档案!$U64="沉睡客户",会员档案!$A64,"")</f>
        <v/>
      </c>
      <c r="B64" s="31">
        <f>IF(A64="","",会员档案!$B64)</f>
        <v/>
      </c>
      <c r="C64" s="31">
        <f>IF(A64="","",会员档案!$D64)</f>
        <v/>
      </c>
      <c r="D64" s="31">
        <f>IF(A64="","",会员档案!$F64)</f>
        <v/>
      </c>
      <c r="E64" s="58">
        <f>IF(A64="","",会员档案!$S64)</f>
        <v/>
      </c>
      <c r="F64" s="31">
        <f>IF(A64="","",会员档案!$T64)</f>
        <v/>
      </c>
      <c r="G64" s="31">
        <f>IF(A64="","",会员档案!$O64)</f>
        <v/>
      </c>
      <c r="H64" s="31">
        <f>IF(A64="","",会员档案!$P64)</f>
        <v/>
      </c>
      <c r="I64" s="55" t="n"/>
      <c r="J64" s="11" t="n"/>
      <c r="K64" s="11" t="n"/>
    </row>
    <row r="65">
      <c r="A65" s="31">
        <f>IF(会员档案!$U65="沉睡客户",会员档案!$A65,"")</f>
        <v/>
      </c>
      <c r="B65" s="31">
        <f>IF(A65="","",会员档案!$B65)</f>
        <v/>
      </c>
      <c r="C65" s="31">
        <f>IF(A65="","",会员档案!$D65)</f>
        <v/>
      </c>
      <c r="D65" s="31">
        <f>IF(A65="","",会员档案!$F65)</f>
        <v/>
      </c>
      <c r="E65" s="58">
        <f>IF(A65="","",会员档案!$S65)</f>
        <v/>
      </c>
      <c r="F65" s="31">
        <f>IF(A65="","",会员档案!$T65)</f>
        <v/>
      </c>
      <c r="G65" s="31">
        <f>IF(A65="","",会员档案!$O65)</f>
        <v/>
      </c>
      <c r="H65" s="31">
        <f>IF(A65="","",会员档案!$P65)</f>
        <v/>
      </c>
      <c r="I65" s="55" t="n"/>
      <c r="J65" s="11" t="n"/>
      <c r="K65" s="11" t="n"/>
    </row>
    <row r="66">
      <c r="A66" s="31">
        <f>IF(会员档案!$U66="沉睡客户",会员档案!$A66,"")</f>
        <v/>
      </c>
      <c r="B66" s="31">
        <f>IF(A66="","",会员档案!$B66)</f>
        <v/>
      </c>
      <c r="C66" s="31">
        <f>IF(A66="","",会员档案!$D66)</f>
        <v/>
      </c>
      <c r="D66" s="31">
        <f>IF(A66="","",会员档案!$F66)</f>
        <v/>
      </c>
      <c r="E66" s="58">
        <f>IF(A66="","",会员档案!$S66)</f>
        <v/>
      </c>
      <c r="F66" s="31">
        <f>IF(A66="","",会员档案!$T66)</f>
        <v/>
      </c>
      <c r="G66" s="31">
        <f>IF(A66="","",会员档案!$O66)</f>
        <v/>
      </c>
      <c r="H66" s="31">
        <f>IF(A66="","",会员档案!$P66)</f>
        <v/>
      </c>
      <c r="I66" s="55" t="n"/>
      <c r="J66" s="11" t="n"/>
      <c r="K66" s="11" t="n"/>
    </row>
    <row r="67">
      <c r="A67" s="31">
        <f>IF(会员档案!$U67="沉睡客户",会员档案!$A67,"")</f>
        <v/>
      </c>
      <c r="B67" s="31">
        <f>IF(A67="","",会员档案!$B67)</f>
        <v/>
      </c>
      <c r="C67" s="31">
        <f>IF(A67="","",会员档案!$D67)</f>
        <v/>
      </c>
      <c r="D67" s="31">
        <f>IF(A67="","",会员档案!$F67)</f>
        <v/>
      </c>
      <c r="E67" s="58">
        <f>IF(A67="","",会员档案!$S67)</f>
        <v/>
      </c>
      <c r="F67" s="31">
        <f>IF(A67="","",会员档案!$T67)</f>
        <v/>
      </c>
      <c r="G67" s="31">
        <f>IF(A67="","",会员档案!$O67)</f>
        <v/>
      </c>
      <c r="H67" s="31">
        <f>IF(A67="","",会员档案!$P67)</f>
        <v/>
      </c>
      <c r="I67" s="55" t="n"/>
      <c r="J67" s="11" t="n"/>
      <c r="K67" s="11" t="n"/>
    </row>
    <row r="68">
      <c r="A68" s="31">
        <f>IF(会员档案!$U68="沉睡客户",会员档案!$A68,"")</f>
        <v/>
      </c>
      <c r="B68" s="31">
        <f>IF(A68="","",会员档案!$B68)</f>
        <v/>
      </c>
      <c r="C68" s="31">
        <f>IF(A68="","",会员档案!$D68)</f>
        <v/>
      </c>
      <c r="D68" s="31">
        <f>IF(A68="","",会员档案!$F68)</f>
        <v/>
      </c>
      <c r="E68" s="58">
        <f>IF(A68="","",会员档案!$S68)</f>
        <v/>
      </c>
      <c r="F68" s="31">
        <f>IF(A68="","",会员档案!$T68)</f>
        <v/>
      </c>
      <c r="G68" s="31">
        <f>IF(A68="","",会员档案!$O68)</f>
        <v/>
      </c>
      <c r="H68" s="31">
        <f>IF(A68="","",会员档案!$P68)</f>
        <v/>
      </c>
      <c r="I68" s="55" t="n"/>
      <c r="J68" s="11" t="n"/>
      <c r="K68" s="11" t="n"/>
    </row>
    <row r="69">
      <c r="A69" s="31">
        <f>IF(会员档案!$U69="沉睡客户",会员档案!$A69,"")</f>
        <v/>
      </c>
      <c r="B69" s="31">
        <f>IF(A69="","",会员档案!$B69)</f>
        <v/>
      </c>
      <c r="C69" s="31">
        <f>IF(A69="","",会员档案!$D69)</f>
        <v/>
      </c>
      <c r="D69" s="31">
        <f>IF(A69="","",会员档案!$F69)</f>
        <v/>
      </c>
      <c r="E69" s="58">
        <f>IF(A69="","",会员档案!$S69)</f>
        <v/>
      </c>
      <c r="F69" s="31">
        <f>IF(A69="","",会员档案!$T69)</f>
        <v/>
      </c>
      <c r="G69" s="31">
        <f>IF(A69="","",会员档案!$O69)</f>
        <v/>
      </c>
      <c r="H69" s="31">
        <f>IF(A69="","",会员档案!$P69)</f>
        <v/>
      </c>
      <c r="I69" s="55" t="n"/>
      <c r="J69" s="11" t="n"/>
      <c r="K69" s="11" t="n"/>
    </row>
    <row r="70">
      <c r="A70" s="31">
        <f>IF(会员档案!$U70="沉睡客户",会员档案!$A70,"")</f>
        <v/>
      </c>
      <c r="B70" s="31">
        <f>IF(A70="","",会员档案!$B70)</f>
        <v/>
      </c>
      <c r="C70" s="31">
        <f>IF(A70="","",会员档案!$D70)</f>
        <v/>
      </c>
      <c r="D70" s="31">
        <f>IF(A70="","",会员档案!$F70)</f>
        <v/>
      </c>
      <c r="E70" s="58">
        <f>IF(A70="","",会员档案!$S70)</f>
        <v/>
      </c>
      <c r="F70" s="31">
        <f>IF(A70="","",会员档案!$T70)</f>
        <v/>
      </c>
      <c r="G70" s="31">
        <f>IF(A70="","",会员档案!$O70)</f>
        <v/>
      </c>
      <c r="H70" s="31">
        <f>IF(A70="","",会员档案!$P70)</f>
        <v/>
      </c>
      <c r="I70" s="55" t="n"/>
      <c r="J70" s="11" t="n"/>
      <c r="K70" s="11" t="n"/>
    </row>
    <row r="71">
      <c r="A71" s="31">
        <f>IF(会员档案!$U71="沉睡客户",会员档案!$A71,"")</f>
        <v/>
      </c>
      <c r="B71" s="31">
        <f>IF(A71="","",会员档案!$B71)</f>
        <v/>
      </c>
      <c r="C71" s="31">
        <f>IF(A71="","",会员档案!$D71)</f>
        <v/>
      </c>
      <c r="D71" s="31">
        <f>IF(A71="","",会员档案!$F71)</f>
        <v/>
      </c>
      <c r="E71" s="58">
        <f>IF(A71="","",会员档案!$S71)</f>
        <v/>
      </c>
      <c r="F71" s="31">
        <f>IF(A71="","",会员档案!$T71)</f>
        <v/>
      </c>
      <c r="G71" s="31">
        <f>IF(A71="","",会员档案!$O71)</f>
        <v/>
      </c>
      <c r="H71" s="31">
        <f>IF(A71="","",会员档案!$P71)</f>
        <v/>
      </c>
      <c r="I71" s="55" t="n"/>
      <c r="J71" s="11" t="n"/>
      <c r="K71" s="11" t="n"/>
    </row>
    <row r="72">
      <c r="A72" s="31">
        <f>IF(会员档案!$U72="沉睡客户",会员档案!$A72,"")</f>
        <v/>
      </c>
      <c r="B72" s="31">
        <f>IF(A72="","",会员档案!$B72)</f>
        <v/>
      </c>
      <c r="C72" s="31">
        <f>IF(A72="","",会员档案!$D72)</f>
        <v/>
      </c>
      <c r="D72" s="31">
        <f>IF(A72="","",会员档案!$F72)</f>
        <v/>
      </c>
      <c r="E72" s="58">
        <f>IF(A72="","",会员档案!$S72)</f>
        <v/>
      </c>
      <c r="F72" s="31">
        <f>IF(A72="","",会员档案!$T72)</f>
        <v/>
      </c>
      <c r="G72" s="31">
        <f>IF(A72="","",会员档案!$O72)</f>
        <v/>
      </c>
      <c r="H72" s="31">
        <f>IF(A72="","",会员档案!$P72)</f>
        <v/>
      </c>
      <c r="I72" s="55" t="n"/>
      <c r="J72" s="11" t="n"/>
      <c r="K72" s="11" t="n"/>
    </row>
    <row r="73">
      <c r="A73" s="31">
        <f>IF(会员档案!$U73="沉睡客户",会员档案!$A73,"")</f>
        <v/>
      </c>
      <c r="B73" s="31">
        <f>IF(A73="","",会员档案!$B73)</f>
        <v/>
      </c>
      <c r="C73" s="31">
        <f>IF(A73="","",会员档案!$D73)</f>
        <v/>
      </c>
      <c r="D73" s="31">
        <f>IF(A73="","",会员档案!$F73)</f>
        <v/>
      </c>
      <c r="E73" s="58">
        <f>IF(A73="","",会员档案!$S73)</f>
        <v/>
      </c>
      <c r="F73" s="31">
        <f>IF(A73="","",会员档案!$T73)</f>
        <v/>
      </c>
      <c r="G73" s="31">
        <f>IF(A73="","",会员档案!$O73)</f>
        <v/>
      </c>
      <c r="H73" s="31">
        <f>IF(A73="","",会员档案!$P73)</f>
        <v/>
      </c>
      <c r="I73" s="55" t="n"/>
      <c r="J73" s="11" t="n"/>
      <c r="K73" s="11" t="n"/>
    </row>
    <row r="74">
      <c r="A74" s="31">
        <f>IF(会员档案!$U74="沉睡客户",会员档案!$A74,"")</f>
        <v/>
      </c>
      <c r="B74" s="31">
        <f>IF(A74="","",会员档案!$B74)</f>
        <v/>
      </c>
      <c r="C74" s="31">
        <f>IF(A74="","",会员档案!$D74)</f>
        <v/>
      </c>
      <c r="D74" s="31">
        <f>IF(A74="","",会员档案!$F74)</f>
        <v/>
      </c>
      <c r="E74" s="58">
        <f>IF(A74="","",会员档案!$S74)</f>
        <v/>
      </c>
      <c r="F74" s="31">
        <f>IF(A74="","",会员档案!$T74)</f>
        <v/>
      </c>
      <c r="G74" s="31">
        <f>IF(A74="","",会员档案!$O74)</f>
        <v/>
      </c>
      <c r="H74" s="31">
        <f>IF(A74="","",会员档案!$P74)</f>
        <v/>
      </c>
      <c r="I74" s="55" t="n"/>
      <c r="J74" s="11" t="n"/>
      <c r="K74" s="11" t="n"/>
    </row>
    <row r="75">
      <c r="A75" s="31">
        <f>IF(会员档案!$U75="沉睡客户",会员档案!$A75,"")</f>
        <v/>
      </c>
      <c r="B75" s="31">
        <f>IF(A75="","",会员档案!$B75)</f>
        <v/>
      </c>
      <c r="C75" s="31">
        <f>IF(A75="","",会员档案!$D75)</f>
        <v/>
      </c>
      <c r="D75" s="31">
        <f>IF(A75="","",会员档案!$F75)</f>
        <v/>
      </c>
      <c r="E75" s="58">
        <f>IF(A75="","",会员档案!$S75)</f>
        <v/>
      </c>
      <c r="F75" s="31">
        <f>IF(A75="","",会员档案!$T75)</f>
        <v/>
      </c>
      <c r="G75" s="31">
        <f>IF(A75="","",会员档案!$O75)</f>
        <v/>
      </c>
      <c r="H75" s="31">
        <f>IF(A75="","",会员档案!$P75)</f>
        <v/>
      </c>
      <c r="I75" s="55" t="n"/>
      <c r="J75" s="11" t="n"/>
      <c r="K75" s="11" t="n"/>
    </row>
    <row r="76">
      <c r="A76" s="31">
        <f>IF(会员档案!$U76="沉睡客户",会员档案!$A76,"")</f>
        <v/>
      </c>
      <c r="B76" s="31">
        <f>IF(A76="","",会员档案!$B76)</f>
        <v/>
      </c>
      <c r="C76" s="31">
        <f>IF(A76="","",会员档案!$D76)</f>
        <v/>
      </c>
      <c r="D76" s="31">
        <f>IF(A76="","",会员档案!$F76)</f>
        <v/>
      </c>
      <c r="E76" s="58">
        <f>IF(A76="","",会员档案!$S76)</f>
        <v/>
      </c>
      <c r="F76" s="31">
        <f>IF(A76="","",会员档案!$T76)</f>
        <v/>
      </c>
      <c r="G76" s="31">
        <f>IF(A76="","",会员档案!$O76)</f>
        <v/>
      </c>
      <c r="H76" s="31">
        <f>IF(A76="","",会员档案!$P76)</f>
        <v/>
      </c>
      <c r="I76" s="55" t="n"/>
      <c r="J76" s="11" t="n"/>
      <c r="K76" s="11" t="n"/>
    </row>
    <row r="77">
      <c r="A77" s="31">
        <f>IF(会员档案!$U77="沉睡客户",会员档案!$A77,"")</f>
        <v/>
      </c>
      <c r="B77" s="31">
        <f>IF(A77="","",会员档案!$B77)</f>
        <v/>
      </c>
      <c r="C77" s="31">
        <f>IF(A77="","",会员档案!$D77)</f>
        <v/>
      </c>
      <c r="D77" s="31">
        <f>IF(A77="","",会员档案!$F77)</f>
        <v/>
      </c>
      <c r="E77" s="58">
        <f>IF(A77="","",会员档案!$S77)</f>
        <v/>
      </c>
      <c r="F77" s="31">
        <f>IF(A77="","",会员档案!$T77)</f>
        <v/>
      </c>
      <c r="G77" s="31">
        <f>IF(A77="","",会员档案!$O77)</f>
        <v/>
      </c>
      <c r="H77" s="31">
        <f>IF(A77="","",会员档案!$P77)</f>
        <v/>
      </c>
      <c r="I77" s="55" t="n"/>
      <c r="J77" s="11" t="n"/>
      <c r="K77" s="11" t="n"/>
    </row>
    <row r="78">
      <c r="A78" s="31">
        <f>IF(会员档案!$U78="沉睡客户",会员档案!$A78,"")</f>
        <v/>
      </c>
      <c r="B78" s="31">
        <f>IF(A78="","",会员档案!$B78)</f>
        <v/>
      </c>
      <c r="C78" s="31">
        <f>IF(A78="","",会员档案!$D78)</f>
        <v/>
      </c>
      <c r="D78" s="31">
        <f>IF(A78="","",会员档案!$F78)</f>
        <v/>
      </c>
      <c r="E78" s="58">
        <f>IF(A78="","",会员档案!$S78)</f>
        <v/>
      </c>
      <c r="F78" s="31">
        <f>IF(A78="","",会员档案!$T78)</f>
        <v/>
      </c>
      <c r="G78" s="31">
        <f>IF(A78="","",会员档案!$O78)</f>
        <v/>
      </c>
      <c r="H78" s="31">
        <f>IF(A78="","",会员档案!$P78)</f>
        <v/>
      </c>
      <c r="I78" s="55" t="n"/>
      <c r="J78" s="11" t="n"/>
      <c r="K78" s="11" t="n"/>
    </row>
    <row r="79">
      <c r="A79" s="31">
        <f>IF(会员档案!$U79="沉睡客户",会员档案!$A79,"")</f>
        <v/>
      </c>
      <c r="B79" s="31">
        <f>IF(A79="","",会员档案!$B79)</f>
        <v/>
      </c>
      <c r="C79" s="31">
        <f>IF(A79="","",会员档案!$D79)</f>
        <v/>
      </c>
      <c r="D79" s="31">
        <f>IF(A79="","",会员档案!$F79)</f>
        <v/>
      </c>
      <c r="E79" s="58">
        <f>IF(A79="","",会员档案!$S79)</f>
        <v/>
      </c>
      <c r="F79" s="31">
        <f>IF(A79="","",会员档案!$T79)</f>
        <v/>
      </c>
      <c r="G79" s="31">
        <f>IF(A79="","",会员档案!$O79)</f>
        <v/>
      </c>
      <c r="H79" s="31">
        <f>IF(A79="","",会员档案!$P79)</f>
        <v/>
      </c>
      <c r="I79" s="55" t="n"/>
      <c r="J79" s="11" t="n"/>
      <c r="K79" s="11" t="n"/>
    </row>
    <row r="80">
      <c r="A80" s="31">
        <f>IF(会员档案!$U80="沉睡客户",会员档案!$A80,"")</f>
        <v/>
      </c>
      <c r="B80" s="31">
        <f>IF(A80="","",会员档案!$B80)</f>
        <v/>
      </c>
      <c r="C80" s="31">
        <f>IF(A80="","",会员档案!$D80)</f>
        <v/>
      </c>
      <c r="D80" s="31">
        <f>IF(A80="","",会员档案!$F80)</f>
        <v/>
      </c>
      <c r="E80" s="58">
        <f>IF(A80="","",会员档案!$S80)</f>
        <v/>
      </c>
      <c r="F80" s="31">
        <f>IF(A80="","",会员档案!$T80)</f>
        <v/>
      </c>
      <c r="G80" s="31">
        <f>IF(A80="","",会员档案!$O80)</f>
        <v/>
      </c>
      <c r="H80" s="31">
        <f>IF(A80="","",会员档案!$P80)</f>
        <v/>
      </c>
      <c r="I80" s="55" t="n"/>
      <c r="J80" s="11" t="n"/>
      <c r="K80" s="11" t="n"/>
    </row>
    <row r="81">
      <c r="A81" s="31">
        <f>IF(会员档案!$U81="沉睡客户",会员档案!$A81,"")</f>
        <v/>
      </c>
      <c r="B81" s="31">
        <f>IF(A81="","",会员档案!$B81)</f>
        <v/>
      </c>
      <c r="C81" s="31">
        <f>IF(A81="","",会员档案!$D81)</f>
        <v/>
      </c>
      <c r="D81" s="31">
        <f>IF(A81="","",会员档案!$F81)</f>
        <v/>
      </c>
      <c r="E81" s="58">
        <f>IF(A81="","",会员档案!$S81)</f>
        <v/>
      </c>
      <c r="F81" s="31">
        <f>IF(A81="","",会员档案!$T81)</f>
        <v/>
      </c>
      <c r="G81" s="31">
        <f>IF(A81="","",会员档案!$O81)</f>
        <v/>
      </c>
      <c r="H81" s="31">
        <f>IF(A81="","",会员档案!$P81)</f>
        <v/>
      </c>
      <c r="I81" s="55" t="n"/>
      <c r="J81" s="11" t="n"/>
      <c r="K81" s="11" t="n"/>
    </row>
    <row r="82">
      <c r="A82" s="31">
        <f>IF(会员档案!$U82="沉睡客户",会员档案!$A82,"")</f>
        <v/>
      </c>
      <c r="B82" s="31">
        <f>IF(A82="","",会员档案!$B82)</f>
        <v/>
      </c>
      <c r="C82" s="31">
        <f>IF(A82="","",会员档案!$D82)</f>
        <v/>
      </c>
      <c r="D82" s="31">
        <f>IF(A82="","",会员档案!$F82)</f>
        <v/>
      </c>
      <c r="E82" s="58">
        <f>IF(A82="","",会员档案!$S82)</f>
        <v/>
      </c>
      <c r="F82" s="31">
        <f>IF(A82="","",会员档案!$T82)</f>
        <v/>
      </c>
      <c r="G82" s="31">
        <f>IF(A82="","",会员档案!$O82)</f>
        <v/>
      </c>
      <c r="H82" s="31">
        <f>IF(A82="","",会员档案!$P82)</f>
        <v/>
      </c>
      <c r="I82" s="55" t="n"/>
      <c r="J82" s="11" t="n"/>
      <c r="K82" s="11" t="n"/>
    </row>
    <row r="83">
      <c r="A83" s="31">
        <f>IF(会员档案!$U83="沉睡客户",会员档案!$A83,"")</f>
        <v/>
      </c>
      <c r="B83" s="31">
        <f>IF(A83="","",会员档案!$B83)</f>
        <v/>
      </c>
      <c r="C83" s="31">
        <f>IF(A83="","",会员档案!$D83)</f>
        <v/>
      </c>
      <c r="D83" s="31">
        <f>IF(A83="","",会员档案!$F83)</f>
        <v/>
      </c>
      <c r="E83" s="58">
        <f>IF(A83="","",会员档案!$S83)</f>
        <v/>
      </c>
      <c r="F83" s="31">
        <f>IF(A83="","",会员档案!$T83)</f>
        <v/>
      </c>
      <c r="G83" s="31">
        <f>IF(A83="","",会员档案!$O83)</f>
        <v/>
      </c>
      <c r="H83" s="31">
        <f>IF(A83="","",会员档案!$P83)</f>
        <v/>
      </c>
      <c r="I83" s="55" t="n"/>
      <c r="J83" s="11" t="n"/>
      <c r="K83" s="11" t="n"/>
    </row>
    <row r="84">
      <c r="A84" s="31">
        <f>IF(会员档案!$U84="沉睡客户",会员档案!$A84,"")</f>
        <v/>
      </c>
      <c r="B84" s="31">
        <f>IF(A84="","",会员档案!$B84)</f>
        <v/>
      </c>
      <c r="C84" s="31">
        <f>IF(A84="","",会员档案!$D84)</f>
        <v/>
      </c>
      <c r="D84" s="31">
        <f>IF(A84="","",会员档案!$F84)</f>
        <v/>
      </c>
      <c r="E84" s="58">
        <f>IF(A84="","",会员档案!$S84)</f>
        <v/>
      </c>
      <c r="F84" s="31">
        <f>IF(A84="","",会员档案!$T84)</f>
        <v/>
      </c>
      <c r="G84" s="31">
        <f>IF(A84="","",会员档案!$O84)</f>
        <v/>
      </c>
      <c r="H84" s="31">
        <f>IF(A84="","",会员档案!$P84)</f>
        <v/>
      </c>
      <c r="I84" s="55" t="n"/>
      <c r="J84" s="11" t="n"/>
      <c r="K84" s="11" t="n"/>
    </row>
    <row r="85">
      <c r="A85" s="31">
        <f>IF(会员档案!$U85="沉睡客户",会员档案!$A85,"")</f>
        <v/>
      </c>
      <c r="B85" s="31">
        <f>IF(A85="","",会员档案!$B85)</f>
        <v/>
      </c>
      <c r="C85" s="31">
        <f>IF(A85="","",会员档案!$D85)</f>
        <v/>
      </c>
      <c r="D85" s="31">
        <f>IF(A85="","",会员档案!$F85)</f>
        <v/>
      </c>
      <c r="E85" s="58">
        <f>IF(A85="","",会员档案!$S85)</f>
        <v/>
      </c>
      <c r="F85" s="31">
        <f>IF(A85="","",会员档案!$T85)</f>
        <v/>
      </c>
      <c r="G85" s="31">
        <f>IF(A85="","",会员档案!$O85)</f>
        <v/>
      </c>
      <c r="H85" s="31">
        <f>IF(A85="","",会员档案!$P85)</f>
        <v/>
      </c>
      <c r="I85" s="55" t="n"/>
      <c r="J85" s="11" t="n"/>
      <c r="K85" s="11" t="n"/>
    </row>
    <row r="86">
      <c r="A86" s="31">
        <f>IF(会员档案!$U86="沉睡客户",会员档案!$A86,"")</f>
        <v/>
      </c>
      <c r="B86" s="31">
        <f>IF(A86="","",会员档案!$B86)</f>
        <v/>
      </c>
      <c r="C86" s="31">
        <f>IF(A86="","",会员档案!$D86)</f>
        <v/>
      </c>
      <c r="D86" s="31">
        <f>IF(A86="","",会员档案!$F86)</f>
        <v/>
      </c>
      <c r="E86" s="58">
        <f>IF(A86="","",会员档案!$S86)</f>
        <v/>
      </c>
      <c r="F86" s="31">
        <f>IF(A86="","",会员档案!$T86)</f>
        <v/>
      </c>
      <c r="G86" s="31">
        <f>IF(A86="","",会员档案!$O86)</f>
        <v/>
      </c>
      <c r="H86" s="31">
        <f>IF(A86="","",会员档案!$P86)</f>
        <v/>
      </c>
      <c r="I86" s="55" t="n"/>
      <c r="J86" s="11" t="n"/>
      <c r="K86" s="11" t="n"/>
    </row>
    <row r="87">
      <c r="A87" s="31">
        <f>IF(会员档案!$U87="沉睡客户",会员档案!$A87,"")</f>
        <v/>
      </c>
      <c r="B87" s="31">
        <f>IF(A87="","",会员档案!$B87)</f>
        <v/>
      </c>
      <c r="C87" s="31">
        <f>IF(A87="","",会员档案!$D87)</f>
        <v/>
      </c>
      <c r="D87" s="31">
        <f>IF(A87="","",会员档案!$F87)</f>
        <v/>
      </c>
      <c r="E87" s="58">
        <f>IF(A87="","",会员档案!$S87)</f>
        <v/>
      </c>
      <c r="F87" s="31">
        <f>IF(A87="","",会员档案!$T87)</f>
        <v/>
      </c>
      <c r="G87" s="31">
        <f>IF(A87="","",会员档案!$O87)</f>
        <v/>
      </c>
      <c r="H87" s="31">
        <f>IF(A87="","",会员档案!$P87)</f>
        <v/>
      </c>
      <c r="I87" s="55" t="n"/>
      <c r="J87" s="11" t="n"/>
      <c r="K87" s="11" t="n"/>
    </row>
    <row r="88">
      <c r="A88" s="31">
        <f>IF(会员档案!$U88="沉睡客户",会员档案!$A88,"")</f>
        <v/>
      </c>
      <c r="B88" s="31">
        <f>IF(A88="","",会员档案!$B88)</f>
        <v/>
      </c>
      <c r="C88" s="31">
        <f>IF(A88="","",会员档案!$D88)</f>
        <v/>
      </c>
      <c r="D88" s="31">
        <f>IF(A88="","",会员档案!$F88)</f>
        <v/>
      </c>
      <c r="E88" s="58">
        <f>IF(A88="","",会员档案!$S88)</f>
        <v/>
      </c>
      <c r="F88" s="31">
        <f>IF(A88="","",会员档案!$T88)</f>
        <v/>
      </c>
      <c r="G88" s="31">
        <f>IF(A88="","",会员档案!$O88)</f>
        <v/>
      </c>
      <c r="H88" s="31">
        <f>IF(A88="","",会员档案!$P88)</f>
        <v/>
      </c>
      <c r="I88" s="55" t="n"/>
      <c r="J88" s="11" t="n"/>
      <c r="K88" s="11" t="n"/>
    </row>
    <row r="89">
      <c r="A89" s="31">
        <f>IF(会员档案!$U89="沉睡客户",会员档案!$A89,"")</f>
        <v/>
      </c>
      <c r="B89" s="31">
        <f>IF(A89="","",会员档案!$B89)</f>
        <v/>
      </c>
      <c r="C89" s="31">
        <f>IF(A89="","",会员档案!$D89)</f>
        <v/>
      </c>
      <c r="D89" s="31">
        <f>IF(A89="","",会员档案!$F89)</f>
        <v/>
      </c>
      <c r="E89" s="58">
        <f>IF(A89="","",会员档案!$S89)</f>
        <v/>
      </c>
      <c r="F89" s="31">
        <f>IF(A89="","",会员档案!$T89)</f>
        <v/>
      </c>
      <c r="G89" s="31">
        <f>IF(A89="","",会员档案!$O89)</f>
        <v/>
      </c>
      <c r="H89" s="31">
        <f>IF(A89="","",会员档案!$P89)</f>
        <v/>
      </c>
      <c r="I89" s="55" t="n"/>
      <c r="J89" s="11" t="n"/>
      <c r="K89" s="11" t="n"/>
    </row>
    <row r="90">
      <c r="A90" s="31">
        <f>IF(会员档案!$U90="沉睡客户",会员档案!$A90,"")</f>
        <v/>
      </c>
      <c r="B90" s="31">
        <f>IF(A90="","",会员档案!$B90)</f>
        <v/>
      </c>
      <c r="C90" s="31">
        <f>IF(A90="","",会员档案!$D90)</f>
        <v/>
      </c>
      <c r="D90" s="31">
        <f>IF(A90="","",会员档案!$F90)</f>
        <v/>
      </c>
      <c r="E90" s="58">
        <f>IF(A90="","",会员档案!$S90)</f>
        <v/>
      </c>
      <c r="F90" s="31">
        <f>IF(A90="","",会员档案!$T90)</f>
        <v/>
      </c>
      <c r="G90" s="31">
        <f>IF(A90="","",会员档案!$O90)</f>
        <v/>
      </c>
      <c r="H90" s="31">
        <f>IF(A90="","",会员档案!$P90)</f>
        <v/>
      </c>
      <c r="I90" s="55" t="n"/>
      <c r="J90" s="11" t="n"/>
      <c r="K90" s="11" t="n"/>
    </row>
    <row r="91">
      <c r="A91" s="31">
        <f>IF(会员档案!$U91="沉睡客户",会员档案!$A91,"")</f>
        <v/>
      </c>
      <c r="B91" s="31">
        <f>IF(A91="","",会员档案!$B91)</f>
        <v/>
      </c>
      <c r="C91" s="31">
        <f>IF(A91="","",会员档案!$D91)</f>
        <v/>
      </c>
      <c r="D91" s="31">
        <f>IF(A91="","",会员档案!$F91)</f>
        <v/>
      </c>
      <c r="E91" s="58">
        <f>IF(A91="","",会员档案!$S91)</f>
        <v/>
      </c>
      <c r="F91" s="31">
        <f>IF(A91="","",会员档案!$T91)</f>
        <v/>
      </c>
      <c r="G91" s="31">
        <f>IF(A91="","",会员档案!$O91)</f>
        <v/>
      </c>
      <c r="H91" s="31">
        <f>IF(A91="","",会员档案!$P91)</f>
        <v/>
      </c>
      <c r="I91" s="55" t="n"/>
      <c r="J91" s="11" t="n"/>
      <c r="K91" s="11" t="n"/>
    </row>
    <row r="92">
      <c r="A92" s="31">
        <f>IF(会员档案!$U92="沉睡客户",会员档案!$A92,"")</f>
        <v/>
      </c>
      <c r="B92" s="31">
        <f>IF(A92="","",会员档案!$B92)</f>
        <v/>
      </c>
      <c r="C92" s="31">
        <f>IF(A92="","",会员档案!$D92)</f>
        <v/>
      </c>
      <c r="D92" s="31">
        <f>IF(A92="","",会员档案!$F92)</f>
        <v/>
      </c>
      <c r="E92" s="58">
        <f>IF(A92="","",会员档案!$S92)</f>
        <v/>
      </c>
      <c r="F92" s="31">
        <f>IF(A92="","",会员档案!$T92)</f>
        <v/>
      </c>
      <c r="G92" s="31">
        <f>IF(A92="","",会员档案!$O92)</f>
        <v/>
      </c>
      <c r="H92" s="31">
        <f>IF(A92="","",会员档案!$P92)</f>
        <v/>
      </c>
      <c r="I92" s="55" t="n"/>
      <c r="J92" s="11" t="n"/>
      <c r="K92" s="11" t="n"/>
    </row>
    <row r="93">
      <c r="A93" s="31">
        <f>IF(会员档案!$U93="沉睡客户",会员档案!$A93,"")</f>
        <v/>
      </c>
      <c r="B93" s="31">
        <f>IF(A93="","",会员档案!$B93)</f>
        <v/>
      </c>
      <c r="C93" s="31">
        <f>IF(A93="","",会员档案!$D93)</f>
        <v/>
      </c>
      <c r="D93" s="31">
        <f>IF(A93="","",会员档案!$F93)</f>
        <v/>
      </c>
      <c r="E93" s="58">
        <f>IF(A93="","",会员档案!$S93)</f>
        <v/>
      </c>
      <c r="F93" s="31">
        <f>IF(A93="","",会员档案!$T93)</f>
        <v/>
      </c>
      <c r="G93" s="31">
        <f>IF(A93="","",会员档案!$O93)</f>
        <v/>
      </c>
      <c r="H93" s="31">
        <f>IF(A93="","",会员档案!$P93)</f>
        <v/>
      </c>
      <c r="I93" s="55" t="n"/>
      <c r="J93" s="11" t="n"/>
      <c r="K93" s="11" t="n"/>
    </row>
    <row r="94">
      <c r="A94" s="31">
        <f>IF(会员档案!$U94="沉睡客户",会员档案!$A94,"")</f>
        <v/>
      </c>
      <c r="B94" s="31">
        <f>IF(A94="","",会员档案!$B94)</f>
        <v/>
      </c>
      <c r="C94" s="31">
        <f>IF(A94="","",会员档案!$D94)</f>
        <v/>
      </c>
      <c r="D94" s="31">
        <f>IF(A94="","",会员档案!$F94)</f>
        <v/>
      </c>
      <c r="E94" s="58">
        <f>IF(A94="","",会员档案!$S94)</f>
        <v/>
      </c>
      <c r="F94" s="31">
        <f>IF(A94="","",会员档案!$T94)</f>
        <v/>
      </c>
      <c r="G94" s="31">
        <f>IF(A94="","",会员档案!$O94)</f>
        <v/>
      </c>
      <c r="H94" s="31">
        <f>IF(A94="","",会员档案!$P94)</f>
        <v/>
      </c>
      <c r="I94" s="55" t="n"/>
      <c r="J94" s="11" t="n"/>
      <c r="K94" s="11" t="n"/>
    </row>
    <row r="95">
      <c r="A95" s="31">
        <f>IF(会员档案!$U95="沉睡客户",会员档案!$A95,"")</f>
        <v/>
      </c>
      <c r="B95" s="31">
        <f>IF(A95="","",会员档案!$B95)</f>
        <v/>
      </c>
      <c r="C95" s="31">
        <f>IF(A95="","",会员档案!$D95)</f>
        <v/>
      </c>
      <c r="D95" s="31">
        <f>IF(A95="","",会员档案!$F95)</f>
        <v/>
      </c>
      <c r="E95" s="58">
        <f>IF(A95="","",会员档案!$S95)</f>
        <v/>
      </c>
      <c r="F95" s="31">
        <f>IF(A95="","",会员档案!$T95)</f>
        <v/>
      </c>
      <c r="G95" s="31">
        <f>IF(A95="","",会员档案!$O95)</f>
        <v/>
      </c>
      <c r="H95" s="31">
        <f>IF(A95="","",会员档案!$P95)</f>
        <v/>
      </c>
      <c r="I95" s="55" t="n"/>
      <c r="J95" s="11" t="n"/>
      <c r="K95" s="11" t="n"/>
    </row>
    <row r="96">
      <c r="A96" s="31">
        <f>IF(会员档案!$U96="沉睡客户",会员档案!$A96,"")</f>
        <v/>
      </c>
      <c r="B96" s="31">
        <f>IF(A96="","",会员档案!$B96)</f>
        <v/>
      </c>
      <c r="C96" s="31">
        <f>IF(A96="","",会员档案!$D96)</f>
        <v/>
      </c>
      <c r="D96" s="31">
        <f>IF(A96="","",会员档案!$F96)</f>
        <v/>
      </c>
      <c r="E96" s="58">
        <f>IF(A96="","",会员档案!$S96)</f>
        <v/>
      </c>
      <c r="F96" s="31">
        <f>IF(A96="","",会员档案!$T96)</f>
        <v/>
      </c>
      <c r="G96" s="31">
        <f>IF(A96="","",会员档案!$O96)</f>
        <v/>
      </c>
      <c r="H96" s="31">
        <f>IF(A96="","",会员档案!$P96)</f>
        <v/>
      </c>
      <c r="I96" s="55" t="n"/>
      <c r="J96" s="11" t="n"/>
      <c r="K96" s="11" t="n"/>
    </row>
    <row r="97">
      <c r="A97" s="31">
        <f>IF(会员档案!$U97="沉睡客户",会员档案!$A97,"")</f>
        <v/>
      </c>
      <c r="B97" s="31">
        <f>IF(A97="","",会员档案!$B97)</f>
        <v/>
      </c>
      <c r="C97" s="31">
        <f>IF(A97="","",会员档案!$D97)</f>
        <v/>
      </c>
      <c r="D97" s="31">
        <f>IF(A97="","",会员档案!$F97)</f>
        <v/>
      </c>
      <c r="E97" s="58">
        <f>IF(A97="","",会员档案!$S97)</f>
        <v/>
      </c>
      <c r="F97" s="31">
        <f>IF(A97="","",会员档案!$T97)</f>
        <v/>
      </c>
      <c r="G97" s="31">
        <f>IF(A97="","",会员档案!$O97)</f>
        <v/>
      </c>
      <c r="H97" s="31">
        <f>IF(A97="","",会员档案!$P97)</f>
        <v/>
      </c>
      <c r="I97" s="55" t="n"/>
      <c r="J97" s="11" t="n"/>
      <c r="K97" s="11" t="n"/>
    </row>
    <row r="98">
      <c r="A98" s="31">
        <f>IF(会员档案!$U98="沉睡客户",会员档案!$A98,"")</f>
        <v/>
      </c>
      <c r="B98" s="31">
        <f>IF(A98="","",会员档案!$B98)</f>
        <v/>
      </c>
      <c r="C98" s="31">
        <f>IF(A98="","",会员档案!$D98)</f>
        <v/>
      </c>
      <c r="D98" s="31">
        <f>IF(A98="","",会员档案!$F98)</f>
        <v/>
      </c>
      <c r="E98" s="58">
        <f>IF(A98="","",会员档案!$S98)</f>
        <v/>
      </c>
      <c r="F98" s="31">
        <f>IF(A98="","",会员档案!$T98)</f>
        <v/>
      </c>
      <c r="G98" s="31">
        <f>IF(A98="","",会员档案!$O98)</f>
        <v/>
      </c>
      <c r="H98" s="31">
        <f>IF(A98="","",会员档案!$P98)</f>
        <v/>
      </c>
      <c r="I98" s="55" t="n"/>
      <c r="J98" s="11" t="n"/>
      <c r="K98" s="11" t="n"/>
    </row>
    <row r="99">
      <c r="A99" s="31">
        <f>IF(会员档案!$U99="沉睡客户",会员档案!$A99,"")</f>
        <v/>
      </c>
      <c r="B99" s="31">
        <f>IF(A99="","",会员档案!$B99)</f>
        <v/>
      </c>
      <c r="C99" s="31">
        <f>IF(A99="","",会员档案!$D99)</f>
        <v/>
      </c>
      <c r="D99" s="31">
        <f>IF(A99="","",会员档案!$F99)</f>
        <v/>
      </c>
      <c r="E99" s="58">
        <f>IF(A99="","",会员档案!$S99)</f>
        <v/>
      </c>
      <c r="F99" s="31">
        <f>IF(A99="","",会员档案!$T99)</f>
        <v/>
      </c>
      <c r="G99" s="31">
        <f>IF(A99="","",会员档案!$O99)</f>
        <v/>
      </c>
      <c r="H99" s="31">
        <f>IF(A99="","",会员档案!$P99)</f>
        <v/>
      </c>
      <c r="I99" s="55" t="n"/>
      <c r="J99" s="11" t="n"/>
      <c r="K99" s="11" t="n"/>
    </row>
    <row r="100">
      <c r="A100" s="31">
        <f>IF(会员档案!$U100="沉睡客户",会员档案!$A100,"")</f>
        <v/>
      </c>
      <c r="B100" s="31">
        <f>IF(A100="","",会员档案!$B100)</f>
        <v/>
      </c>
      <c r="C100" s="31">
        <f>IF(A100="","",会员档案!$D100)</f>
        <v/>
      </c>
      <c r="D100" s="31">
        <f>IF(A100="","",会员档案!$F100)</f>
        <v/>
      </c>
      <c r="E100" s="58">
        <f>IF(A100="","",会员档案!$S100)</f>
        <v/>
      </c>
      <c r="F100" s="31">
        <f>IF(A100="","",会员档案!$T100)</f>
        <v/>
      </c>
      <c r="G100" s="31">
        <f>IF(A100="","",会员档案!$O100)</f>
        <v/>
      </c>
      <c r="H100" s="31">
        <f>IF(A100="","",会员档案!$P100)</f>
        <v/>
      </c>
      <c r="I100" s="55" t="n"/>
      <c r="J100" s="11" t="n"/>
      <c r="K100" s="11" t="n"/>
    </row>
    <row r="101">
      <c r="A101" s="31">
        <f>IF(会员档案!$U101="沉睡客户",会员档案!$A101,"")</f>
        <v/>
      </c>
      <c r="B101" s="31">
        <f>IF(A101="","",会员档案!$B101)</f>
        <v/>
      </c>
      <c r="C101" s="31">
        <f>IF(A101="","",会员档案!$D101)</f>
        <v/>
      </c>
      <c r="D101" s="31">
        <f>IF(A101="","",会员档案!$F101)</f>
        <v/>
      </c>
      <c r="E101" s="58">
        <f>IF(A101="","",会员档案!$S101)</f>
        <v/>
      </c>
      <c r="F101" s="31">
        <f>IF(A101="","",会员档案!$T101)</f>
        <v/>
      </c>
      <c r="G101" s="31">
        <f>IF(A101="","",会员档案!$O101)</f>
        <v/>
      </c>
      <c r="H101" s="31">
        <f>IF(A101="","",会员档案!$P101)</f>
        <v/>
      </c>
      <c r="I101" s="55" t="n"/>
      <c r="J101" s="11" t="n"/>
      <c r="K101" s="11" t="n"/>
    </row>
    <row r="102">
      <c r="A102" s="31">
        <f>IF(会员档案!$U102="沉睡客户",会员档案!$A102,"")</f>
        <v/>
      </c>
      <c r="B102" s="31">
        <f>IF(A102="","",会员档案!$B102)</f>
        <v/>
      </c>
      <c r="C102" s="31">
        <f>IF(A102="","",会员档案!$D102)</f>
        <v/>
      </c>
      <c r="D102" s="31">
        <f>IF(A102="","",会员档案!$F102)</f>
        <v/>
      </c>
      <c r="E102" s="58">
        <f>IF(A102="","",会员档案!$S102)</f>
        <v/>
      </c>
      <c r="F102" s="31">
        <f>IF(A102="","",会员档案!$T102)</f>
        <v/>
      </c>
      <c r="G102" s="31">
        <f>IF(A102="","",会员档案!$O102)</f>
        <v/>
      </c>
      <c r="H102" s="31">
        <f>IF(A102="","",会员档案!$P102)</f>
        <v/>
      </c>
      <c r="I102" s="55" t="n"/>
      <c r="J102" s="11" t="n"/>
      <c r="K102" s="11" t="n"/>
    </row>
    <row r="103">
      <c r="A103" s="31">
        <f>IF(会员档案!$U103="沉睡客户",会员档案!$A103,"")</f>
        <v/>
      </c>
      <c r="B103" s="31">
        <f>IF(A103="","",会员档案!$B103)</f>
        <v/>
      </c>
      <c r="C103" s="31">
        <f>IF(A103="","",会员档案!$D103)</f>
        <v/>
      </c>
      <c r="D103" s="31">
        <f>IF(A103="","",会员档案!$F103)</f>
        <v/>
      </c>
      <c r="E103" s="58">
        <f>IF(A103="","",会员档案!$S103)</f>
        <v/>
      </c>
      <c r="F103" s="31">
        <f>IF(A103="","",会员档案!$T103)</f>
        <v/>
      </c>
      <c r="G103" s="31">
        <f>IF(A103="","",会员档案!$O103)</f>
        <v/>
      </c>
      <c r="H103" s="31">
        <f>IF(A103="","",会员档案!$P103)</f>
        <v/>
      </c>
      <c r="I103" s="55" t="n"/>
      <c r="J103" s="11" t="n"/>
      <c r="K103" s="11" t="n"/>
    </row>
    <row r="104">
      <c r="A104" s="31">
        <f>IF(会员档案!$U104="沉睡客户",会员档案!$A104,"")</f>
        <v/>
      </c>
      <c r="B104" s="31">
        <f>IF(A104="","",会员档案!$B104)</f>
        <v/>
      </c>
      <c r="C104" s="31">
        <f>IF(A104="","",会员档案!$D104)</f>
        <v/>
      </c>
      <c r="D104" s="31">
        <f>IF(A104="","",会员档案!$F104)</f>
        <v/>
      </c>
      <c r="E104" s="58">
        <f>IF(A104="","",会员档案!$S104)</f>
        <v/>
      </c>
      <c r="F104" s="31">
        <f>IF(A104="","",会员档案!$T104)</f>
        <v/>
      </c>
      <c r="G104" s="31">
        <f>IF(A104="","",会员档案!$O104)</f>
        <v/>
      </c>
      <c r="H104" s="31">
        <f>IF(A104="","",会员档案!$P104)</f>
        <v/>
      </c>
      <c r="I104" s="55" t="n"/>
      <c r="J104" s="11" t="n"/>
      <c r="K104" s="11" t="n"/>
    </row>
    <row r="105">
      <c r="A105" s="31">
        <f>IF(会员档案!$U105="沉睡客户",会员档案!$A105,"")</f>
        <v/>
      </c>
      <c r="B105" s="31">
        <f>IF(A105="","",会员档案!$B105)</f>
        <v/>
      </c>
      <c r="C105" s="31">
        <f>IF(A105="","",会员档案!$D105)</f>
        <v/>
      </c>
      <c r="D105" s="31">
        <f>IF(A105="","",会员档案!$F105)</f>
        <v/>
      </c>
      <c r="E105" s="58">
        <f>IF(A105="","",会员档案!$S105)</f>
        <v/>
      </c>
      <c r="F105" s="31">
        <f>IF(A105="","",会员档案!$T105)</f>
        <v/>
      </c>
      <c r="G105" s="31">
        <f>IF(A105="","",会员档案!$O105)</f>
        <v/>
      </c>
      <c r="H105" s="31">
        <f>IF(A105="","",会员档案!$P105)</f>
        <v/>
      </c>
      <c r="I105" s="55" t="n"/>
      <c r="J105" s="11" t="n"/>
      <c r="K105" s="11" t="n"/>
    </row>
    <row r="106">
      <c r="A106" s="31">
        <f>IF(会员档案!$U106="沉睡客户",会员档案!$A106,"")</f>
        <v/>
      </c>
      <c r="B106" s="31">
        <f>IF(A106="","",会员档案!$B106)</f>
        <v/>
      </c>
      <c r="C106" s="31">
        <f>IF(A106="","",会员档案!$D106)</f>
        <v/>
      </c>
      <c r="D106" s="31">
        <f>IF(A106="","",会员档案!$F106)</f>
        <v/>
      </c>
      <c r="E106" s="58">
        <f>IF(A106="","",会员档案!$S106)</f>
        <v/>
      </c>
      <c r="F106" s="31">
        <f>IF(A106="","",会员档案!$T106)</f>
        <v/>
      </c>
      <c r="G106" s="31">
        <f>IF(A106="","",会员档案!$O106)</f>
        <v/>
      </c>
      <c r="H106" s="31">
        <f>IF(A106="","",会员档案!$P106)</f>
        <v/>
      </c>
      <c r="I106" s="55" t="n"/>
      <c r="J106" s="11" t="n"/>
      <c r="K106" s="11" t="n"/>
    </row>
    <row r="107">
      <c r="A107" s="31">
        <f>IF(会员档案!$U107="沉睡客户",会员档案!$A107,"")</f>
        <v/>
      </c>
      <c r="B107" s="31">
        <f>IF(A107="","",会员档案!$B107)</f>
        <v/>
      </c>
      <c r="C107" s="31">
        <f>IF(A107="","",会员档案!$D107)</f>
        <v/>
      </c>
      <c r="D107" s="31">
        <f>IF(A107="","",会员档案!$F107)</f>
        <v/>
      </c>
      <c r="E107" s="58">
        <f>IF(A107="","",会员档案!$S107)</f>
        <v/>
      </c>
      <c r="F107" s="31">
        <f>IF(A107="","",会员档案!$T107)</f>
        <v/>
      </c>
      <c r="G107" s="31">
        <f>IF(A107="","",会员档案!$O107)</f>
        <v/>
      </c>
      <c r="H107" s="31">
        <f>IF(A107="","",会员档案!$P107)</f>
        <v/>
      </c>
      <c r="I107" s="55" t="n"/>
      <c r="J107" s="11" t="n"/>
      <c r="K107" s="11" t="n"/>
    </row>
    <row r="108">
      <c r="A108" s="31">
        <f>IF(会员档案!$U108="沉睡客户",会员档案!$A108,"")</f>
        <v/>
      </c>
      <c r="B108" s="31">
        <f>IF(A108="","",会员档案!$B108)</f>
        <v/>
      </c>
      <c r="C108" s="31">
        <f>IF(A108="","",会员档案!$D108)</f>
        <v/>
      </c>
      <c r="D108" s="31">
        <f>IF(A108="","",会员档案!$F108)</f>
        <v/>
      </c>
      <c r="E108" s="58">
        <f>IF(A108="","",会员档案!$S108)</f>
        <v/>
      </c>
      <c r="F108" s="31">
        <f>IF(A108="","",会员档案!$T108)</f>
        <v/>
      </c>
      <c r="G108" s="31">
        <f>IF(A108="","",会员档案!$O108)</f>
        <v/>
      </c>
      <c r="H108" s="31">
        <f>IF(A108="","",会员档案!$P108)</f>
        <v/>
      </c>
      <c r="I108" s="55" t="n"/>
      <c r="J108" s="11" t="n"/>
      <c r="K108" s="11" t="n"/>
    </row>
    <row r="109">
      <c r="A109" s="31">
        <f>IF(会员档案!$U109="沉睡客户",会员档案!$A109,"")</f>
        <v/>
      </c>
      <c r="B109" s="31">
        <f>IF(A109="","",会员档案!$B109)</f>
        <v/>
      </c>
      <c r="C109" s="31">
        <f>IF(A109="","",会员档案!$D109)</f>
        <v/>
      </c>
      <c r="D109" s="31">
        <f>IF(A109="","",会员档案!$F109)</f>
        <v/>
      </c>
      <c r="E109" s="58">
        <f>IF(A109="","",会员档案!$S109)</f>
        <v/>
      </c>
      <c r="F109" s="31">
        <f>IF(A109="","",会员档案!$T109)</f>
        <v/>
      </c>
      <c r="G109" s="31">
        <f>IF(A109="","",会员档案!$O109)</f>
        <v/>
      </c>
      <c r="H109" s="31">
        <f>IF(A109="","",会员档案!$P109)</f>
        <v/>
      </c>
      <c r="I109" s="55" t="n"/>
      <c r="J109" s="11" t="n"/>
      <c r="K109" s="11" t="n"/>
    </row>
    <row r="110">
      <c r="A110" s="31">
        <f>IF(会员档案!$U110="沉睡客户",会员档案!$A110,"")</f>
        <v/>
      </c>
      <c r="B110" s="31">
        <f>IF(A110="","",会员档案!$B110)</f>
        <v/>
      </c>
      <c r="C110" s="31">
        <f>IF(A110="","",会员档案!$D110)</f>
        <v/>
      </c>
      <c r="D110" s="31">
        <f>IF(A110="","",会员档案!$F110)</f>
        <v/>
      </c>
      <c r="E110" s="58">
        <f>IF(A110="","",会员档案!$S110)</f>
        <v/>
      </c>
      <c r="F110" s="31">
        <f>IF(A110="","",会员档案!$T110)</f>
        <v/>
      </c>
      <c r="G110" s="31">
        <f>IF(A110="","",会员档案!$O110)</f>
        <v/>
      </c>
      <c r="H110" s="31">
        <f>IF(A110="","",会员档案!$P110)</f>
        <v/>
      </c>
      <c r="I110" s="55" t="n"/>
      <c r="J110" s="11" t="n"/>
      <c r="K110" s="11" t="n"/>
    </row>
    <row r="111">
      <c r="A111" s="31">
        <f>IF(会员档案!$U111="沉睡客户",会员档案!$A111,"")</f>
        <v/>
      </c>
      <c r="B111" s="31">
        <f>IF(A111="","",会员档案!$B111)</f>
        <v/>
      </c>
      <c r="C111" s="31">
        <f>IF(A111="","",会员档案!$D111)</f>
        <v/>
      </c>
      <c r="D111" s="31">
        <f>IF(A111="","",会员档案!$F111)</f>
        <v/>
      </c>
      <c r="E111" s="58">
        <f>IF(A111="","",会员档案!$S111)</f>
        <v/>
      </c>
      <c r="F111" s="31">
        <f>IF(A111="","",会员档案!$T111)</f>
        <v/>
      </c>
      <c r="G111" s="31">
        <f>IF(A111="","",会员档案!$O111)</f>
        <v/>
      </c>
      <c r="H111" s="31">
        <f>IF(A111="","",会员档案!$P111)</f>
        <v/>
      </c>
      <c r="I111" s="55" t="n"/>
      <c r="J111" s="11" t="n"/>
      <c r="K111" s="11" t="n"/>
    </row>
    <row r="112">
      <c r="A112" s="31">
        <f>IF(会员档案!$U112="沉睡客户",会员档案!$A112,"")</f>
        <v/>
      </c>
      <c r="B112" s="31">
        <f>IF(A112="","",会员档案!$B112)</f>
        <v/>
      </c>
      <c r="C112" s="31">
        <f>IF(A112="","",会员档案!$D112)</f>
        <v/>
      </c>
      <c r="D112" s="31">
        <f>IF(A112="","",会员档案!$F112)</f>
        <v/>
      </c>
      <c r="E112" s="58">
        <f>IF(A112="","",会员档案!$S112)</f>
        <v/>
      </c>
      <c r="F112" s="31">
        <f>IF(A112="","",会员档案!$T112)</f>
        <v/>
      </c>
      <c r="G112" s="31">
        <f>IF(A112="","",会员档案!$O112)</f>
        <v/>
      </c>
      <c r="H112" s="31">
        <f>IF(A112="","",会员档案!$P112)</f>
        <v/>
      </c>
      <c r="I112" s="55" t="n"/>
      <c r="J112" s="11" t="n"/>
      <c r="K112" s="11" t="n"/>
    </row>
    <row r="113">
      <c r="A113" s="31">
        <f>IF(会员档案!$U113="沉睡客户",会员档案!$A113,"")</f>
        <v/>
      </c>
      <c r="B113" s="31">
        <f>IF(A113="","",会员档案!$B113)</f>
        <v/>
      </c>
      <c r="C113" s="31">
        <f>IF(A113="","",会员档案!$D113)</f>
        <v/>
      </c>
      <c r="D113" s="31">
        <f>IF(A113="","",会员档案!$F113)</f>
        <v/>
      </c>
      <c r="E113" s="58">
        <f>IF(A113="","",会员档案!$S113)</f>
        <v/>
      </c>
      <c r="F113" s="31">
        <f>IF(A113="","",会员档案!$T113)</f>
        <v/>
      </c>
      <c r="G113" s="31">
        <f>IF(A113="","",会员档案!$O113)</f>
        <v/>
      </c>
      <c r="H113" s="31">
        <f>IF(A113="","",会员档案!$P113)</f>
        <v/>
      </c>
      <c r="I113" s="55" t="n"/>
      <c r="J113" s="11" t="n"/>
      <c r="K113" s="11" t="n"/>
    </row>
    <row r="114">
      <c r="A114" s="31">
        <f>IF(会员档案!$U114="沉睡客户",会员档案!$A114,"")</f>
        <v/>
      </c>
      <c r="B114" s="31">
        <f>IF(A114="","",会员档案!$B114)</f>
        <v/>
      </c>
      <c r="C114" s="31">
        <f>IF(A114="","",会员档案!$D114)</f>
        <v/>
      </c>
      <c r="D114" s="31">
        <f>IF(A114="","",会员档案!$F114)</f>
        <v/>
      </c>
      <c r="E114" s="58">
        <f>IF(A114="","",会员档案!$S114)</f>
        <v/>
      </c>
      <c r="F114" s="31">
        <f>IF(A114="","",会员档案!$T114)</f>
        <v/>
      </c>
      <c r="G114" s="31">
        <f>IF(A114="","",会员档案!$O114)</f>
        <v/>
      </c>
      <c r="H114" s="31">
        <f>IF(A114="","",会员档案!$P114)</f>
        <v/>
      </c>
      <c r="I114" s="55" t="n"/>
      <c r="J114" s="11" t="n"/>
      <c r="K114" s="11" t="n"/>
    </row>
    <row r="115">
      <c r="A115" s="31">
        <f>IF(会员档案!$U115="沉睡客户",会员档案!$A115,"")</f>
        <v/>
      </c>
      <c r="B115" s="31">
        <f>IF(A115="","",会员档案!$B115)</f>
        <v/>
      </c>
      <c r="C115" s="31">
        <f>IF(A115="","",会员档案!$D115)</f>
        <v/>
      </c>
      <c r="D115" s="31">
        <f>IF(A115="","",会员档案!$F115)</f>
        <v/>
      </c>
      <c r="E115" s="58">
        <f>IF(A115="","",会员档案!$S115)</f>
        <v/>
      </c>
      <c r="F115" s="31">
        <f>IF(A115="","",会员档案!$T115)</f>
        <v/>
      </c>
      <c r="G115" s="31">
        <f>IF(A115="","",会员档案!$O115)</f>
        <v/>
      </c>
      <c r="H115" s="31">
        <f>IF(A115="","",会员档案!$P115)</f>
        <v/>
      </c>
      <c r="I115" s="55" t="n"/>
      <c r="J115" s="11" t="n"/>
      <c r="K115" s="11" t="n"/>
    </row>
    <row r="116">
      <c r="A116" s="31">
        <f>IF(会员档案!$U116="沉睡客户",会员档案!$A116,"")</f>
        <v/>
      </c>
      <c r="B116" s="31">
        <f>IF(A116="","",会员档案!$B116)</f>
        <v/>
      </c>
      <c r="C116" s="31">
        <f>IF(A116="","",会员档案!$D116)</f>
        <v/>
      </c>
      <c r="D116" s="31">
        <f>IF(A116="","",会员档案!$F116)</f>
        <v/>
      </c>
      <c r="E116" s="58">
        <f>IF(A116="","",会员档案!$S116)</f>
        <v/>
      </c>
      <c r="F116" s="31">
        <f>IF(A116="","",会员档案!$T116)</f>
        <v/>
      </c>
      <c r="G116" s="31">
        <f>IF(A116="","",会员档案!$O116)</f>
        <v/>
      </c>
      <c r="H116" s="31">
        <f>IF(A116="","",会员档案!$P116)</f>
        <v/>
      </c>
      <c r="I116" s="55" t="n"/>
      <c r="J116" s="11" t="n"/>
      <c r="K116" s="11" t="n"/>
    </row>
    <row r="117">
      <c r="A117" s="31">
        <f>IF(会员档案!$U117="沉睡客户",会员档案!$A117,"")</f>
        <v/>
      </c>
      <c r="B117" s="31">
        <f>IF(A117="","",会员档案!$B117)</f>
        <v/>
      </c>
      <c r="C117" s="31">
        <f>IF(A117="","",会员档案!$D117)</f>
        <v/>
      </c>
      <c r="D117" s="31">
        <f>IF(A117="","",会员档案!$F117)</f>
        <v/>
      </c>
      <c r="E117" s="58">
        <f>IF(A117="","",会员档案!$S117)</f>
        <v/>
      </c>
      <c r="F117" s="31">
        <f>IF(A117="","",会员档案!$T117)</f>
        <v/>
      </c>
      <c r="G117" s="31">
        <f>IF(A117="","",会员档案!$O117)</f>
        <v/>
      </c>
      <c r="H117" s="31">
        <f>IF(A117="","",会员档案!$P117)</f>
        <v/>
      </c>
      <c r="I117" s="55" t="n"/>
      <c r="J117" s="11" t="n"/>
      <c r="K117" s="11" t="n"/>
    </row>
    <row r="118">
      <c r="A118" s="31">
        <f>IF(会员档案!$U118="沉睡客户",会员档案!$A118,"")</f>
        <v/>
      </c>
      <c r="B118" s="31">
        <f>IF(A118="","",会员档案!$B118)</f>
        <v/>
      </c>
      <c r="C118" s="31">
        <f>IF(A118="","",会员档案!$D118)</f>
        <v/>
      </c>
      <c r="D118" s="31">
        <f>IF(A118="","",会员档案!$F118)</f>
        <v/>
      </c>
      <c r="E118" s="58">
        <f>IF(A118="","",会员档案!$S118)</f>
        <v/>
      </c>
      <c r="F118" s="31">
        <f>IF(A118="","",会员档案!$T118)</f>
        <v/>
      </c>
      <c r="G118" s="31">
        <f>IF(A118="","",会员档案!$O118)</f>
        <v/>
      </c>
      <c r="H118" s="31">
        <f>IF(A118="","",会员档案!$P118)</f>
        <v/>
      </c>
      <c r="I118" s="55" t="n"/>
      <c r="J118" s="11" t="n"/>
      <c r="K118" s="11" t="n"/>
    </row>
    <row r="119">
      <c r="A119" s="31">
        <f>IF(会员档案!$U119="沉睡客户",会员档案!$A119,"")</f>
        <v/>
      </c>
      <c r="B119" s="31">
        <f>IF(A119="","",会员档案!$B119)</f>
        <v/>
      </c>
      <c r="C119" s="31">
        <f>IF(A119="","",会员档案!$D119)</f>
        <v/>
      </c>
      <c r="D119" s="31">
        <f>IF(A119="","",会员档案!$F119)</f>
        <v/>
      </c>
      <c r="E119" s="58">
        <f>IF(A119="","",会员档案!$S119)</f>
        <v/>
      </c>
      <c r="F119" s="31">
        <f>IF(A119="","",会员档案!$T119)</f>
        <v/>
      </c>
      <c r="G119" s="31">
        <f>IF(A119="","",会员档案!$O119)</f>
        <v/>
      </c>
      <c r="H119" s="31">
        <f>IF(A119="","",会员档案!$P119)</f>
        <v/>
      </c>
      <c r="I119" s="55" t="n"/>
      <c r="J119" s="11" t="n"/>
      <c r="K119" s="11" t="n"/>
    </row>
    <row r="120">
      <c r="A120" s="31">
        <f>IF(会员档案!$U120="沉睡客户",会员档案!$A120,"")</f>
        <v/>
      </c>
      <c r="B120" s="31">
        <f>IF(A120="","",会员档案!$B120)</f>
        <v/>
      </c>
      <c r="C120" s="31">
        <f>IF(A120="","",会员档案!$D120)</f>
        <v/>
      </c>
      <c r="D120" s="31">
        <f>IF(A120="","",会员档案!$F120)</f>
        <v/>
      </c>
      <c r="E120" s="58">
        <f>IF(A120="","",会员档案!$S120)</f>
        <v/>
      </c>
      <c r="F120" s="31">
        <f>IF(A120="","",会员档案!$T120)</f>
        <v/>
      </c>
      <c r="G120" s="31">
        <f>IF(A120="","",会员档案!$O120)</f>
        <v/>
      </c>
      <c r="H120" s="31">
        <f>IF(A120="","",会员档案!$P120)</f>
        <v/>
      </c>
      <c r="I120" s="55" t="n"/>
      <c r="J120" s="11" t="n"/>
      <c r="K120" s="11" t="n"/>
    </row>
    <row r="121">
      <c r="A121" s="31">
        <f>IF(会员档案!$U121="沉睡客户",会员档案!$A121,"")</f>
        <v/>
      </c>
      <c r="B121" s="31">
        <f>IF(A121="","",会员档案!$B121)</f>
        <v/>
      </c>
      <c r="C121" s="31">
        <f>IF(A121="","",会员档案!$D121)</f>
        <v/>
      </c>
      <c r="D121" s="31">
        <f>IF(A121="","",会员档案!$F121)</f>
        <v/>
      </c>
      <c r="E121" s="58">
        <f>IF(A121="","",会员档案!$S121)</f>
        <v/>
      </c>
      <c r="F121" s="31">
        <f>IF(A121="","",会员档案!$T121)</f>
        <v/>
      </c>
      <c r="G121" s="31">
        <f>IF(A121="","",会员档案!$O121)</f>
        <v/>
      </c>
      <c r="H121" s="31">
        <f>IF(A121="","",会员档案!$P121)</f>
        <v/>
      </c>
      <c r="I121" s="55" t="n"/>
      <c r="J121" s="11" t="n"/>
      <c r="K121" s="11" t="n"/>
    </row>
    <row r="122">
      <c r="A122" s="31">
        <f>IF(会员档案!$U122="沉睡客户",会员档案!$A122,"")</f>
        <v/>
      </c>
      <c r="B122" s="31">
        <f>IF(A122="","",会员档案!$B122)</f>
        <v/>
      </c>
      <c r="C122" s="31">
        <f>IF(A122="","",会员档案!$D122)</f>
        <v/>
      </c>
      <c r="D122" s="31">
        <f>IF(A122="","",会员档案!$F122)</f>
        <v/>
      </c>
      <c r="E122" s="58">
        <f>IF(A122="","",会员档案!$S122)</f>
        <v/>
      </c>
      <c r="F122" s="31">
        <f>IF(A122="","",会员档案!$T122)</f>
        <v/>
      </c>
      <c r="G122" s="31">
        <f>IF(A122="","",会员档案!$O122)</f>
        <v/>
      </c>
      <c r="H122" s="31">
        <f>IF(A122="","",会员档案!$P122)</f>
        <v/>
      </c>
      <c r="I122" s="55" t="n"/>
      <c r="J122" s="11" t="n"/>
      <c r="K122" s="11" t="n"/>
    </row>
    <row r="123">
      <c r="A123" s="31">
        <f>IF(会员档案!$U123="沉睡客户",会员档案!$A123,"")</f>
        <v/>
      </c>
      <c r="B123" s="31">
        <f>IF(A123="","",会员档案!$B123)</f>
        <v/>
      </c>
      <c r="C123" s="31">
        <f>IF(A123="","",会员档案!$D123)</f>
        <v/>
      </c>
      <c r="D123" s="31">
        <f>IF(A123="","",会员档案!$F123)</f>
        <v/>
      </c>
      <c r="E123" s="58">
        <f>IF(A123="","",会员档案!$S123)</f>
        <v/>
      </c>
      <c r="F123" s="31">
        <f>IF(A123="","",会员档案!$T123)</f>
        <v/>
      </c>
      <c r="G123" s="31">
        <f>IF(A123="","",会员档案!$O123)</f>
        <v/>
      </c>
      <c r="H123" s="31">
        <f>IF(A123="","",会员档案!$P123)</f>
        <v/>
      </c>
      <c r="I123" s="55" t="n"/>
      <c r="J123" s="11" t="n"/>
      <c r="K123" s="11" t="n"/>
    </row>
    <row r="124">
      <c r="A124" s="31">
        <f>IF(会员档案!$U124="沉睡客户",会员档案!$A124,"")</f>
        <v/>
      </c>
      <c r="B124" s="31">
        <f>IF(A124="","",会员档案!$B124)</f>
        <v/>
      </c>
      <c r="C124" s="31">
        <f>IF(A124="","",会员档案!$D124)</f>
        <v/>
      </c>
      <c r="D124" s="31">
        <f>IF(A124="","",会员档案!$F124)</f>
        <v/>
      </c>
      <c r="E124" s="58">
        <f>IF(A124="","",会员档案!$S124)</f>
        <v/>
      </c>
      <c r="F124" s="31">
        <f>IF(A124="","",会员档案!$T124)</f>
        <v/>
      </c>
      <c r="G124" s="31">
        <f>IF(A124="","",会员档案!$O124)</f>
        <v/>
      </c>
      <c r="H124" s="31">
        <f>IF(A124="","",会员档案!$P124)</f>
        <v/>
      </c>
      <c r="I124" s="55" t="n"/>
      <c r="J124" s="11" t="n"/>
      <c r="K124" s="11" t="n"/>
    </row>
    <row r="125">
      <c r="A125" s="31">
        <f>IF(会员档案!$U125="沉睡客户",会员档案!$A125,"")</f>
        <v/>
      </c>
      <c r="B125" s="31">
        <f>IF(A125="","",会员档案!$B125)</f>
        <v/>
      </c>
      <c r="C125" s="31">
        <f>IF(A125="","",会员档案!$D125)</f>
        <v/>
      </c>
      <c r="D125" s="31">
        <f>IF(A125="","",会员档案!$F125)</f>
        <v/>
      </c>
      <c r="E125" s="58">
        <f>IF(A125="","",会员档案!$S125)</f>
        <v/>
      </c>
      <c r="F125" s="31">
        <f>IF(A125="","",会员档案!$T125)</f>
        <v/>
      </c>
      <c r="G125" s="31">
        <f>IF(A125="","",会员档案!$O125)</f>
        <v/>
      </c>
      <c r="H125" s="31">
        <f>IF(A125="","",会员档案!$P125)</f>
        <v/>
      </c>
      <c r="I125" s="55" t="n"/>
      <c r="J125" s="11" t="n"/>
      <c r="K125" s="11" t="n"/>
    </row>
    <row r="126">
      <c r="A126" s="31">
        <f>IF(会员档案!$U126="沉睡客户",会员档案!$A126,"")</f>
        <v/>
      </c>
      <c r="B126" s="31">
        <f>IF(A126="","",会员档案!$B126)</f>
        <v/>
      </c>
      <c r="C126" s="31">
        <f>IF(A126="","",会员档案!$D126)</f>
        <v/>
      </c>
      <c r="D126" s="31">
        <f>IF(A126="","",会员档案!$F126)</f>
        <v/>
      </c>
      <c r="E126" s="58">
        <f>IF(A126="","",会员档案!$S126)</f>
        <v/>
      </c>
      <c r="F126" s="31">
        <f>IF(A126="","",会员档案!$T126)</f>
        <v/>
      </c>
      <c r="G126" s="31">
        <f>IF(A126="","",会员档案!$O126)</f>
        <v/>
      </c>
      <c r="H126" s="31">
        <f>IF(A126="","",会员档案!$P126)</f>
        <v/>
      </c>
      <c r="I126" s="55" t="n"/>
      <c r="J126" s="11" t="n"/>
      <c r="K126" s="11" t="n"/>
    </row>
    <row r="127">
      <c r="A127" s="31">
        <f>IF(会员档案!$U127="沉睡客户",会员档案!$A127,"")</f>
        <v/>
      </c>
      <c r="B127" s="31">
        <f>IF(A127="","",会员档案!$B127)</f>
        <v/>
      </c>
      <c r="C127" s="31">
        <f>IF(A127="","",会员档案!$D127)</f>
        <v/>
      </c>
      <c r="D127" s="31">
        <f>IF(A127="","",会员档案!$F127)</f>
        <v/>
      </c>
      <c r="E127" s="58">
        <f>IF(A127="","",会员档案!$S127)</f>
        <v/>
      </c>
      <c r="F127" s="31">
        <f>IF(A127="","",会员档案!$T127)</f>
        <v/>
      </c>
      <c r="G127" s="31">
        <f>IF(A127="","",会员档案!$O127)</f>
        <v/>
      </c>
      <c r="H127" s="31">
        <f>IF(A127="","",会员档案!$P127)</f>
        <v/>
      </c>
      <c r="I127" s="55" t="n"/>
      <c r="J127" s="11" t="n"/>
      <c r="K127" s="11" t="n"/>
    </row>
    <row r="128">
      <c r="A128" s="31">
        <f>IF(会员档案!$U128="沉睡客户",会员档案!$A128,"")</f>
        <v/>
      </c>
      <c r="B128" s="31">
        <f>IF(A128="","",会员档案!$B128)</f>
        <v/>
      </c>
      <c r="C128" s="31">
        <f>IF(A128="","",会员档案!$D128)</f>
        <v/>
      </c>
      <c r="D128" s="31">
        <f>IF(A128="","",会员档案!$F128)</f>
        <v/>
      </c>
      <c r="E128" s="58">
        <f>IF(A128="","",会员档案!$S128)</f>
        <v/>
      </c>
      <c r="F128" s="31">
        <f>IF(A128="","",会员档案!$T128)</f>
        <v/>
      </c>
      <c r="G128" s="31">
        <f>IF(A128="","",会员档案!$O128)</f>
        <v/>
      </c>
      <c r="H128" s="31">
        <f>IF(A128="","",会员档案!$P128)</f>
        <v/>
      </c>
      <c r="I128" s="55" t="n"/>
      <c r="J128" s="11" t="n"/>
      <c r="K128" s="11" t="n"/>
    </row>
    <row r="129">
      <c r="A129" s="31">
        <f>IF(会员档案!$U129="沉睡客户",会员档案!$A129,"")</f>
        <v/>
      </c>
      <c r="B129" s="31">
        <f>IF(A129="","",会员档案!$B129)</f>
        <v/>
      </c>
      <c r="C129" s="31">
        <f>IF(A129="","",会员档案!$D129)</f>
        <v/>
      </c>
      <c r="D129" s="31">
        <f>IF(A129="","",会员档案!$F129)</f>
        <v/>
      </c>
      <c r="E129" s="58">
        <f>IF(A129="","",会员档案!$S129)</f>
        <v/>
      </c>
      <c r="F129" s="31">
        <f>IF(A129="","",会员档案!$T129)</f>
        <v/>
      </c>
      <c r="G129" s="31">
        <f>IF(A129="","",会员档案!$O129)</f>
        <v/>
      </c>
      <c r="H129" s="31">
        <f>IF(A129="","",会员档案!$P129)</f>
        <v/>
      </c>
      <c r="I129" s="55" t="n"/>
      <c r="J129" s="11" t="n"/>
      <c r="K129" s="11" t="n"/>
    </row>
    <row r="130">
      <c r="A130" s="31">
        <f>IF(会员档案!$U130="沉睡客户",会员档案!$A130,"")</f>
        <v/>
      </c>
      <c r="B130" s="31">
        <f>IF(A130="","",会员档案!$B130)</f>
        <v/>
      </c>
      <c r="C130" s="31">
        <f>IF(A130="","",会员档案!$D130)</f>
        <v/>
      </c>
      <c r="D130" s="31">
        <f>IF(A130="","",会员档案!$F130)</f>
        <v/>
      </c>
      <c r="E130" s="58">
        <f>IF(A130="","",会员档案!$S130)</f>
        <v/>
      </c>
      <c r="F130" s="31">
        <f>IF(A130="","",会员档案!$T130)</f>
        <v/>
      </c>
      <c r="G130" s="31">
        <f>IF(A130="","",会员档案!$O130)</f>
        <v/>
      </c>
      <c r="H130" s="31">
        <f>IF(A130="","",会员档案!$P130)</f>
        <v/>
      </c>
      <c r="I130" s="55" t="n"/>
      <c r="J130" s="11" t="n"/>
      <c r="K130" s="11" t="n"/>
    </row>
    <row r="131">
      <c r="A131" s="31">
        <f>IF(会员档案!$U131="沉睡客户",会员档案!$A131,"")</f>
        <v/>
      </c>
      <c r="B131" s="31">
        <f>IF(A131="","",会员档案!$B131)</f>
        <v/>
      </c>
      <c r="C131" s="31">
        <f>IF(A131="","",会员档案!$D131)</f>
        <v/>
      </c>
      <c r="D131" s="31">
        <f>IF(A131="","",会员档案!$F131)</f>
        <v/>
      </c>
      <c r="E131" s="58">
        <f>IF(A131="","",会员档案!$S131)</f>
        <v/>
      </c>
      <c r="F131" s="31">
        <f>IF(A131="","",会员档案!$T131)</f>
        <v/>
      </c>
      <c r="G131" s="31">
        <f>IF(A131="","",会员档案!$O131)</f>
        <v/>
      </c>
      <c r="H131" s="31">
        <f>IF(A131="","",会员档案!$P131)</f>
        <v/>
      </c>
      <c r="I131" s="55" t="n"/>
      <c r="J131" s="11" t="n"/>
      <c r="K131" s="11" t="n"/>
    </row>
    <row r="132">
      <c r="A132" s="31">
        <f>IF(会员档案!$U132="沉睡客户",会员档案!$A132,"")</f>
        <v/>
      </c>
      <c r="B132" s="31">
        <f>IF(A132="","",会员档案!$B132)</f>
        <v/>
      </c>
      <c r="C132" s="31">
        <f>IF(A132="","",会员档案!$D132)</f>
        <v/>
      </c>
      <c r="D132" s="31">
        <f>IF(A132="","",会员档案!$F132)</f>
        <v/>
      </c>
      <c r="E132" s="58">
        <f>IF(A132="","",会员档案!$S132)</f>
        <v/>
      </c>
      <c r="F132" s="31">
        <f>IF(A132="","",会员档案!$T132)</f>
        <v/>
      </c>
      <c r="G132" s="31">
        <f>IF(A132="","",会员档案!$O132)</f>
        <v/>
      </c>
      <c r="H132" s="31">
        <f>IF(A132="","",会员档案!$P132)</f>
        <v/>
      </c>
      <c r="I132" s="55" t="n"/>
      <c r="J132" s="11" t="n"/>
      <c r="K132" s="11" t="n"/>
    </row>
    <row r="133">
      <c r="A133" s="31">
        <f>IF(会员档案!$U133="沉睡客户",会员档案!$A133,"")</f>
        <v/>
      </c>
      <c r="B133" s="31">
        <f>IF(A133="","",会员档案!$B133)</f>
        <v/>
      </c>
      <c r="C133" s="31">
        <f>IF(A133="","",会员档案!$D133)</f>
        <v/>
      </c>
      <c r="D133" s="31">
        <f>IF(A133="","",会员档案!$F133)</f>
        <v/>
      </c>
      <c r="E133" s="58">
        <f>IF(A133="","",会员档案!$S133)</f>
        <v/>
      </c>
      <c r="F133" s="31">
        <f>IF(A133="","",会员档案!$T133)</f>
        <v/>
      </c>
      <c r="G133" s="31">
        <f>IF(A133="","",会员档案!$O133)</f>
        <v/>
      </c>
      <c r="H133" s="31">
        <f>IF(A133="","",会员档案!$P133)</f>
        <v/>
      </c>
      <c r="I133" s="55" t="n"/>
      <c r="J133" s="11" t="n"/>
      <c r="K133" s="11" t="n"/>
    </row>
    <row r="134">
      <c r="A134" s="31">
        <f>IF(会员档案!$U134="沉睡客户",会员档案!$A134,"")</f>
        <v/>
      </c>
      <c r="B134" s="31">
        <f>IF(A134="","",会员档案!$B134)</f>
        <v/>
      </c>
      <c r="C134" s="31">
        <f>IF(A134="","",会员档案!$D134)</f>
        <v/>
      </c>
      <c r="D134" s="31">
        <f>IF(A134="","",会员档案!$F134)</f>
        <v/>
      </c>
      <c r="E134" s="58">
        <f>IF(A134="","",会员档案!$S134)</f>
        <v/>
      </c>
      <c r="F134" s="31">
        <f>IF(A134="","",会员档案!$T134)</f>
        <v/>
      </c>
      <c r="G134" s="31">
        <f>IF(A134="","",会员档案!$O134)</f>
        <v/>
      </c>
      <c r="H134" s="31">
        <f>IF(A134="","",会员档案!$P134)</f>
        <v/>
      </c>
      <c r="I134" s="55" t="n"/>
      <c r="J134" s="11" t="n"/>
      <c r="K134" s="11" t="n"/>
    </row>
    <row r="135">
      <c r="A135" s="31">
        <f>IF(会员档案!$U135="沉睡客户",会员档案!$A135,"")</f>
        <v/>
      </c>
      <c r="B135" s="31">
        <f>IF(A135="","",会员档案!$B135)</f>
        <v/>
      </c>
      <c r="C135" s="31">
        <f>IF(A135="","",会员档案!$D135)</f>
        <v/>
      </c>
      <c r="D135" s="31">
        <f>IF(A135="","",会员档案!$F135)</f>
        <v/>
      </c>
      <c r="E135" s="58">
        <f>IF(A135="","",会员档案!$S135)</f>
        <v/>
      </c>
      <c r="F135" s="31">
        <f>IF(A135="","",会员档案!$T135)</f>
        <v/>
      </c>
      <c r="G135" s="31">
        <f>IF(A135="","",会员档案!$O135)</f>
        <v/>
      </c>
      <c r="H135" s="31">
        <f>IF(A135="","",会员档案!$P135)</f>
        <v/>
      </c>
      <c r="I135" s="55" t="n"/>
      <c r="J135" s="11" t="n"/>
      <c r="K135" s="11" t="n"/>
    </row>
    <row r="136">
      <c r="A136" s="31">
        <f>IF(会员档案!$U136="沉睡客户",会员档案!$A136,"")</f>
        <v/>
      </c>
      <c r="B136" s="31">
        <f>IF(A136="","",会员档案!$B136)</f>
        <v/>
      </c>
      <c r="C136" s="31">
        <f>IF(A136="","",会员档案!$D136)</f>
        <v/>
      </c>
      <c r="D136" s="31">
        <f>IF(A136="","",会员档案!$F136)</f>
        <v/>
      </c>
      <c r="E136" s="58">
        <f>IF(A136="","",会员档案!$S136)</f>
        <v/>
      </c>
      <c r="F136" s="31">
        <f>IF(A136="","",会员档案!$T136)</f>
        <v/>
      </c>
      <c r="G136" s="31">
        <f>IF(A136="","",会员档案!$O136)</f>
        <v/>
      </c>
      <c r="H136" s="31">
        <f>IF(A136="","",会员档案!$P136)</f>
        <v/>
      </c>
      <c r="I136" s="55" t="n"/>
      <c r="J136" s="11" t="n"/>
      <c r="K136" s="11" t="n"/>
    </row>
    <row r="137">
      <c r="A137" s="31">
        <f>IF(会员档案!$U137="沉睡客户",会员档案!$A137,"")</f>
        <v/>
      </c>
      <c r="B137" s="31">
        <f>IF(A137="","",会员档案!$B137)</f>
        <v/>
      </c>
      <c r="C137" s="31">
        <f>IF(A137="","",会员档案!$D137)</f>
        <v/>
      </c>
      <c r="D137" s="31">
        <f>IF(A137="","",会员档案!$F137)</f>
        <v/>
      </c>
      <c r="E137" s="58">
        <f>IF(A137="","",会员档案!$S137)</f>
        <v/>
      </c>
      <c r="F137" s="31">
        <f>IF(A137="","",会员档案!$T137)</f>
        <v/>
      </c>
      <c r="G137" s="31">
        <f>IF(A137="","",会员档案!$O137)</f>
        <v/>
      </c>
      <c r="H137" s="31">
        <f>IF(A137="","",会员档案!$P137)</f>
        <v/>
      </c>
      <c r="I137" s="55" t="n"/>
      <c r="J137" s="11" t="n"/>
      <c r="K137" s="11" t="n"/>
    </row>
    <row r="138">
      <c r="A138" s="31">
        <f>IF(会员档案!$U138="沉睡客户",会员档案!$A138,"")</f>
        <v/>
      </c>
      <c r="B138" s="31">
        <f>IF(A138="","",会员档案!$B138)</f>
        <v/>
      </c>
      <c r="C138" s="31">
        <f>IF(A138="","",会员档案!$D138)</f>
        <v/>
      </c>
      <c r="D138" s="31">
        <f>IF(A138="","",会员档案!$F138)</f>
        <v/>
      </c>
      <c r="E138" s="58">
        <f>IF(A138="","",会员档案!$S138)</f>
        <v/>
      </c>
      <c r="F138" s="31">
        <f>IF(A138="","",会员档案!$T138)</f>
        <v/>
      </c>
      <c r="G138" s="31">
        <f>IF(A138="","",会员档案!$O138)</f>
        <v/>
      </c>
      <c r="H138" s="31">
        <f>IF(A138="","",会员档案!$P138)</f>
        <v/>
      </c>
      <c r="I138" s="55" t="n"/>
      <c r="J138" s="11" t="n"/>
      <c r="K138" s="11" t="n"/>
    </row>
    <row r="139">
      <c r="A139" s="31">
        <f>IF(会员档案!$U139="沉睡客户",会员档案!$A139,"")</f>
        <v/>
      </c>
      <c r="B139" s="31">
        <f>IF(A139="","",会员档案!$B139)</f>
        <v/>
      </c>
      <c r="C139" s="31">
        <f>IF(A139="","",会员档案!$D139)</f>
        <v/>
      </c>
      <c r="D139" s="31">
        <f>IF(A139="","",会员档案!$F139)</f>
        <v/>
      </c>
      <c r="E139" s="58">
        <f>IF(A139="","",会员档案!$S139)</f>
        <v/>
      </c>
      <c r="F139" s="31">
        <f>IF(A139="","",会员档案!$T139)</f>
        <v/>
      </c>
      <c r="G139" s="31">
        <f>IF(A139="","",会员档案!$O139)</f>
        <v/>
      </c>
      <c r="H139" s="31">
        <f>IF(A139="","",会员档案!$P139)</f>
        <v/>
      </c>
      <c r="I139" s="55" t="n"/>
      <c r="J139" s="11" t="n"/>
      <c r="K139" s="11" t="n"/>
    </row>
    <row r="140">
      <c r="A140" s="31">
        <f>IF(会员档案!$U140="沉睡客户",会员档案!$A140,"")</f>
        <v/>
      </c>
      <c r="B140" s="31">
        <f>IF(A140="","",会员档案!$B140)</f>
        <v/>
      </c>
      <c r="C140" s="31">
        <f>IF(A140="","",会员档案!$D140)</f>
        <v/>
      </c>
      <c r="D140" s="31">
        <f>IF(A140="","",会员档案!$F140)</f>
        <v/>
      </c>
      <c r="E140" s="58">
        <f>IF(A140="","",会员档案!$S140)</f>
        <v/>
      </c>
      <c r="F140" s="31">
        <f>IF(A140="","",会员档案!$T140)</f>
        <v/>
      </c>
      <c r="G140" s="31">
        <f>IF(A140="","",会员档案!$O140)</f>
        <v/>
      </c>
      <c r="H140" s="31">
        <f>IF(A140="","",会员档案!$P140)</f>
        <v/>
      </c>
      <c r="I140" s="55" t="n"/>
      <c r="J140" s="11" t="n"/>
      <c r="K140" s="11" t="n"/>
    </row>
    <row r="141">
      <c r="A141" s="31">
        <f>IF(会员档案!$U141="沉睡客户",会员档案!$A141,"")</f>
        <v/>
      </c>
      <c r="B141" s="31">
        <f>IF(A141="","",会员档案!$B141)</f>
        <v/>
      </c>
      <c r="C141" s="31">
        <f>IF(A141="","",会员档案!$D141)</f>
        <v/>
      </c>
      <c r="D141" s="31">
        <f>IF(A141="","",会员档案!$F141)</f>
        <v/>
      </c>
      <c r="E141" s="58">
        <f>IF(A141="","",会员档案!$S141)</f>
        <v/>
      </c>
      <c r="F141" s="31">
        <f>IF(A141="","",会员档案!$T141)</f>
        <v/>
      </c>
      <c r="G141" s="31">
        <f>IF(A141="","",会员档案!$O141)</f>
        <v/>
      </c>
      <c r="H141" s="31">
        <f>IF(A141="","",会员档案!$P141)</f>
        <v/>
      </c>
      <c r="I141" s="55" t="n"/>
      <c r="J141" s="11" t="n"/>
      <c r="K141" s="11" t="n"/>
    </row>
    <row r="142">
      <c r="A142" s="31">
        <f>IF(会员档案!$U142="沉睡客户",会员档案!$A142,"")</f>
        <v/>
      </c>
      <c r="B142" s="31">
        <f>IF(A142="","",会员档案!$B142)</f>
        <v/>
      </c>
      <c r="C142" s="31">
        <f>IF(A142="","",会员档案!$D142)</f>
        <v/>
      </c>
      <c r="D142" s="31">
        <f>IF(A142="","",会员档案!$F142)</f>
        <v/>
      </c>
      <c r="E142" s="58">
        <f>IF(A142="","",会员档案!$S142)</f>
        <v/>
      </c>
      <c r="F142" s="31">
        <f>IF(A142="","",会员档案!$T142)</f>
        <v/>
      </c>
      <c r="G142" s="31">
        <f>IF(A142="","",会员档案!$O142)</f>
        <v/>
      </c>
      <c r="H142" s="31">
        <f>IF(A142="","",会员档案!$P142)</f>
        <v/>
      </c>
      <c r="I142" s="55" t="n"/>
      <c r="J142" s="11" t="n"/>
      <c r="K142" s="11" t="n"/>
    </row>
    <row r="143">
      <c r="A143" s="31">
        <f>IF(会员档案!$U143="沉睡客户",会员档案!$A143,"")</f>
        <v/>
      </c>
      <c r="B143" s="31">
        <f>IF(A143="","",会员档案!$B143)</f>
        <v/>
      </c>
      <c r="C143" s="31">
        <f>IF(A143="","",会员档案!$D143)</f>
        <v/>
      </c>
      <c r="D143" s="31">
        <f>IF(A143="","",会员档案!$F143)</f>
        <v/>
      </c>
      <c r="E143" s="58">
        <f>IF(A143="","",会员档案!$S143)</f>
        <v/>
      </c>
      <c r="F143" s="31">
        <f>IF(A143="","",会员档案!$T143)</f>
        <v/>
      </c>
      <c r="G143" s="31">
        <f>IF(A143="","",会员档案!$O143)</f>
        <v/>
      </c>
      <c r="H143" s="31">
        <f>IF(A143="","",会员档案!$P143)</f>
        <v/>
      </c>
      <c r="I143" s="55" t="n"/>
      <c r="J143" s="11" t="n"/>
      <c r="K143" s="11" t="n"/>
    </row>
    <row r="144">
      <c r="A144" s="31">
        <f>IF(会员档案!$U144="沉睡客户",会员档案!$A144,"")</f>
        <v/>
      </c>
      <c r="B144" s="31">
        <f>IF(A144="","",会员档案!$B144)</f>
        <v/>
      </c>
      <c r="C144" s="31">
        <f>IF(A144="","",会员档案!$D144)</f>
        <v/>
      </c>
      <c r="D144" s="31">
        <f>IF(A144="","",会员档案!$F144)</f>
        <v/>
      </c>
      <c r="E144" s="58">
        <f>IF(A144="","",会员档案!$S144)</f>
        <v/>
      </c>
      <c r="F144" s="31">
        <f>IF(A144="","",会员档案!$T144)</f>
        <v/>
      </c>
      <c r="G144" s="31">
        <f>IF(A144="","",会员档案!$O144)</f>
        <v/>
      </c>
      <c r="H144" s="31">
        <f>IF(A144="","",会员档案!$P144)</f>
        <v/>
      </c>
      <c r="I144" s="55" t="n"/>
      <c r="J144" s="11" t="n"/>
      <c r="K144" s="11" t="n"/>
    </row>
    <row r="145">
      <c r="A145" s="31">
        <f>IF(会员档案!$U145="沉睡客户",会员档案!$A145,"")</f>
        <v/>
      </c>
      <c r="B145" s="31">
        <f>IF(A145="","",会员档案!$B145)</f>
        <v/>
      </c>
      <c r="C145" s="31">
        <f>IF(A145="","",会员档案!$D145)</f>
        <v/>
      </c>
      <c r="D145" s="31">
        <f>IF(A145="","",会员档案!$F145)</f>
        <v/>
      </c>
      <c r="E145" s="58">
        <f>IF(A145="","",会员档案!$S145)</f>
        <v/>
      </c>
      <c r="F145" s="31">
        <f>IF(A145="","",会员档案!$T145)</f>
        <v/>
      </c>
      <c r="G145" s="31">
        <f>IF(A145="","",会员档案!$O145)</f>
        <v/>
      </c>
      <c r="H145" s="31">
        <f>IF(A145="","",会员档案!$P145)</f>
        <v/>
      </c>
      <c r="I145" s="55" t="n"/>
      <c r="J145" s="11" t="n"/>
      <c r="K145" s="11" t="n"/>
    </row>
    <row r="146">
      <c r="A146" s="31">
        <f>IF(会员档案!$U146="沉睡客户",会员档案!$A146,"")</f>
        <v/>
      </c>
      <c r="B146" s="31">
        <f>IF(A146="","",会员档案!$B146)</f>
        <v/>
      </c>
      <c r="C146" s="31">
        <f>IF(A146="","",会员档案!$D146)</f>
        <v/>
      </c>
      <c r="D146" s="31">
        <f>IF(A146="","",会员档案!$F146)</f>
        <v/>
      </c>
      <c r="E146" s="58">
        <f>IF(A146="","",会员档案!$S146)</f>
        <v/>
      </c>
      <c r="F146" s="31">
        <f>IF(A146="","",会员档案!$T146)</f>
        <v/>
      </c>
      <c r="G146" s="31">
        <f>IF(A146="","",会员档案!$O146)</f>
        <v/>
      </c>
      <c r="H146" s="31">
        <f>IF(A146="","",会员档案!$P146)</f>
        <v/>
      </c>
      <c r="I146" s="55" t="n"/>
      <c r="J146" s="11" t="n"/>
      <c r="K146" s="11" t="n"/>
    </row>
    <row r="147">
      <c r="A147" s="31">
        <f>IF(会员档案!$U147="沉睡客户",会员档案!$A147,"")</f>
        <v/>
      </c>
      <c r="B147" s="31">
        <f>IF(A147="","",会员档案!$B147)</f>
        <v/>
      </c>
      <c r="C147" s="31">
        <f>IF(A147="","",会员档案!$D147)</f>
        <v/>
      </c>
      <c r="D147" s="31">
        <f>IF(A147="","",会员档案!$F147)</f>
        <v/>
      </c>
      <c r="E147" s="58">
        <f>IF(A147="","",会员档案!$S147)</f>
        <v/>
      </c>
      <c r="F147" s="31">
        <f>IF(A147="","",会员档案!$T147)</f>
        <v/>
      </c>
      <c r="G147" s="31">
        <f>IF(A147="","",会员档案!$O147)</f>
        <v/>
      </c>
      <c r="H147" s="31">
        <f>IF(A147="","",会员档案!$P147)</f>
        <v/>
      </c>
      <c r="I147" s="55" t="n"/>
      <c r="J147" s="11" t="n"/>
      <c r="K147" s="11" t="n"/>
    </row>
    <row r="148">
      <c r="A148" s="31">
        <f>IF(会员档案!$U148="沉睡客户",会员档案!$A148,"")</f>
        <v/>
      </c>
      <c r="B148" s="31">
        <f>IF(A148="","",会员档案!$B148)</f>
        <v/>
      </c>
      <c r="C148" s="31">
        <f>IF(A148="","",会员档案!$D148)</f>
        <v/>
      </c>
      <c r="D148" s="31">
        <f>IF(A148="","",会员档案!$F148)</f>
        <v/>
      </c>
      <c r="E148" s="58">
        <f>IF(A148="","",会员档案!$S148)</f>
        <v/>
      </c>
      <c r="F148" s="31">
        <f>IF(A148="","",会员档案!$T148)</f>
        <v/>
      </c>
      <c r="G148" s="31">
        <f>IF(A148="","",会员档案!$O148)</f>
        <v/>
      </c>
      <c r="H148" s="31">
        <f>IF(A148="","",会员档案!$P148)</f>
        <v/>
      </c>
      <c r="I148" s="55" t="n"/>
      <c r="J148" s="11" t="n"/>
      <c r="K148" s="11" t="n"/>
    </row>
    <row r="149">
      <c r="A149" s="31">
        <f>IF(会员档案!$U149="沉睡客户",会员档案!$A149,"")</f>
        <v/>
      </c>
      <c r="B149" s="31">
        <f>IF(A149="","",会员档案!$B149)</f>
        <v/>
      </c>
      <c r="C149" s="31">
        <f>IF(A149="","",会员档案!$D149)</f>
        <v/>
      </c>
      <c r="D149" s="31">
        <f>IF(A149="","",会员档案!$F149)</f>
        <v/>
      </c>
      <c r="E149" s="58">
        <f>IF(A149="","",会员档案!$S149)</f>
        <v/>
      </c>
      <c r="F149" s="31">
        <f>IF(A149="","",会员档案!$T149)</f>
        <v/>
      </c>
      <c r="G149" s="31">
        <f>IF(A149="","",会员档案!$O149)</f>
        <v/>
      </c>
      <c r="H149" s="31">
        <f>IF(A149="","",会员档案!$P149)</f>
        <v/>
      </c>
      <c r="I149" s="55" t="n"/>
      <c r="J149" s="11" t="n"/>
      <c r="K149" s="11" t="n"/>
    </row>
    <row r="150">
      <c r="A150" s="31">
        <f>IF(会员档案!$U150="沉睡客户",会员档案!$A150,"")</f>
        <v/>
      </c>
      <c r="B150" s="31">
        <f>IF(A150="","",会员档案!$B150)</f>
        <v/>
      </c>
      <c r="C150" s="31">
        <f>IF(A150="","",会员档案!$D150)</f>
        <v/>
      </c>
      <c r="D150" s="31">
        <f>IF(A150="","",会员档案!$F150)</f>
        <v/>
      </c>
      <c r="E150" s="58">
        <f>IF(A150="","",会员档案!$S150)</f>
        <v/>
      </c>
      <c r="F150" s="31">
        <f>IF(A150="","",会员档案!$T150)</f>
        <v/>
      </c>
      <c r="G150" s="31">
        <f>IF(A150="","",会员档案!$O150)</f>
        <v/>
      </c>
      <c r="H150" s="31">
        <f>IF(A150="","",会员档案!$P150)</f>
        <v/>
      </c>
      <c r="I150" s="55" t="n"/>
      <c r="J150" s="11" t="n"/>
      <c r="K150" s="11" t="n"/>
    </row>
    <row r="151">
      <c r="A151" s="31">
        <f>IF(会员档案!$U151="沉睡客户",会员档案!$A151,"")</f>
        <v/>
      </c>
      <c r="B151" s="31">
        <f>IF(A151="","",会员档案!$B151)</f>
        <v/>
      </c>
      <c r="C151" s="31">
        <f>IF(A151="","",会员档案!$D151)</f>
        <v/>
      </c>
      <c r="D151" s="31">
        <f>IF(A151="","",会员档案!$F151)</f>
        <v/>
      </c>
      <c r="E151" s="58">
        <f>IF(A151="","",会员档案!$S151)</f>
        <v/>
      </c>
      <c r="F151" s="31">
        <f>IF(A151="","",会员档案!$T151)</f>
        <v/>
      </c>
      <c r="G151" s="31">
        <f>IF(A151="","",会员档案!$O151)</f>
        <v/>
      </c>
      <c r="H151" s="31">
        <f>IF(A151="","",会员档案!$P151)</f>
        <v/>
      </c>
      <c r="I151" s="55" t="n"/>
      <c r="J151" s="11" t="n"/>
      <c r="K151" s="11" t="n"/>
    </row>
    <row r="152">
      <c r="A152" s="31">
        <f>IF(会员档案!$U152="沉睡客户",会员档案!$A152,"")</f>
        <v/>
      </c>
      <c r="B152" s="31">
        <f>IF(A152="","",会员档案!$B152)</f>
        <v/>
      </c>
      <c r="C152" s="31">
        <f>IF(A152="","",会员档案!$D152)</f>
        <v/>
      </c>
      <c r="D152" s="31">
        <f>IF(A152="","",会员档案!$F152)</f>
        <v/>
      </c>
      <c r="E152" s="58">
        <f>IF(A152="","",会员档案!$S152)</f>
        <v/>
      </c>
      <c r="F152" s="31">
        <f>IF(A152="","",会员档案!$T152)</f>
        <v/>
      </c>
      <c r="G152" s="31">
        <f>IF(A152="","",会员档案!$O152)</f>
        <v/>
      </c>
      <c r="H152" s="31">
        <f>IF(A152="","",会员档案!$P152)</f>
        <v/>
      </c>
      <c r="I152" s="55" t="n"/>
      <c r="J152" s="11" t="n"/>
      <c r="K152" s="11" t="n"/>
    </row>
    <row r="153">
      <c r="A153" s="31">
        <f>IF(会员档案!$U153="沉睡客户",会员档案!$A153,"")</f>
        <v/>
      </c>
      <c r="B153" s="31">
        <f>IF(A153="","",会员档案!$B153)</f>
        <v/>
      </c>
      <c r="C153" s="31">
        <f>IF(A153="","",会员档案!$D153)</f>
        <v/>
      </c>
      <c r="D153" s="31">
        <f>IF(A153="","",会员档案!$F153)</f>
        <v/>
      </c>
      <c r="E153" s="58">
        <f>IF(A153="","",会员档案!$S153)</f>
        <v/>
      </c>
      <c r="F153" s="31">
        <f>IF(A153="","",会员档案!$T153)</f>
        <v/>
      </c>
      <c r="G153" s="31">
        <f>IF(A153="","",会员档案!$O153)</f>
        <v/>
      </c>
      <c r="H153" s="31">
        <f>IF(A153="","",会员档案!$P153)</f>
        <v/>
      </c>
      <c r="I153" s="55" t="n"/>
      <c r="J153" s="11" t="n"/>
      <c r="K153" s="11" t="n"/>
    </row>
    <row r="154">
      <c r="A154" s="31">
        <f>IF(会员档案!$U154="沉睡客户",会员档案!$A154,"")</f>
        <v/>
      </c>
      <c r="B154" s="31">
        <f>IF(A154="","",会员档案!$B154)</f>
        <v/>
      </c>
      <c r="C154" s="31">
        <f>IF(A154="","",会员档案!$D154)</f>
        <v/>
      </c>
      <c r="D154" s="31">
        <f>IF(A154="","",会员档案!$F154)</f>
        <v/>
      </c>
      <c r="E154" s="58">
        <f>IF(A154="","",会员档案!$S154)</f>
        <v/>
      </c>
      <c r="F154" s="31">
        <f>IF(A154="","",会员档案!$T154)</f>
        <v/>
      </c>
      <c r="G154" s="31">
        <f>IF(A154="","",会员档案!$O154)</f>
        <v/>
      </c>
      <c r="H154" s="31">
        <f>IF(A154="","",会员档案!$P154)</f>
        <v/>
      </c>
      <c r="I154" s="55" t="n"/>
      <c r="J154" s="11" t="n"/>
      <c r="K154" s="11" t="n"/>
    </row>
    <row r="155">
      <c r="A155" s="31">
        <f>IF(会员档案!$U155="沉睡客户",会员档案!$A155,"")</f>
        <v/>
      </c>
      <c r="B155" s="31">
        <f>IF(A155="","",会员档案!$B155)</f>
        <v/>
      </c>
      <c r="C155" s="31">
        <f>IF(A155="","",会员档案!$D155)</f>
        <v/>
      </c>
      <c r="D155" s="31">
        <f>IF(A155="","",会员档案!$F155)</f>
        <v/>
      </c>
      <c r="E155" s="58">
        <f>IF(A155="","",会员档案!$S155)</f>
        <v/>
      </c>
      <c r="F155" s="31">
        <f>IF(A155="","",会员档案!$T155)</f>
        <v/>
      </c>
      <c r="G155" s="31">
        <f>IF(A155="","",会员档案!$O155)</f>
        <v/>
      </c>
      <c r="H155" s="31">
        <f>IF(A155="","",会员档案!$P155)</f>
        <v/>
      </c>
      <c r="I155" s="55" t="n"/>
      <c r="J155" s="11" t="n"/>
      <c r="K155" s="11" t="n"/>
    </row>
    <row r="156">
      <c r="A156" s="31">
        <f>IF(会员档案!$U156="沉睡客户",会员档案!$A156,"")</f>
        <v/>
      </c>
      <c r="B156" s="31">
        <f>IF(A156="","",会员档案!$B156)</f>
        <v/>
      </c>
      <c r="C156" s="31">
        <f>IF(A156="","",会员档案!$D156)</f>
        <v/>
      </c>
      <c r="D156" s="31">
        <f>IF(A156="","",会员档案!$F156)</f>
        <v/>
      </c>
      <c r="E156" s="58">
        <f>IF(A156="","",会员档案!$S156)</f>
        <v/>
      </c>
      <c r="F156" s="31">
        <f>IF(A156="","",会员档案!$T156)</f>
        <v/>
      </c>
      <c r="G156" s="31">
        <f>IF(A156="","",会员档案!$O156)</f>
        <v/>
      </c>
      <c r="H156" s="31">
        <f>IF(A156="","",会员档案!$P156)</f>
        <v/>
      </c>
      <c r="I156" s="55" t="n"/>
      <c r="J156" s="11" t="n"/>
      <c r="K156" s="11" t="n"/>
    </row>
    <row r="157">
      <c r="A157" s="31">
        <f>IF(会员档案!$U157="沉睡客户",会员档案!$A157,"")</f>
        <v/>
      </c>
      <c r="B157" s="31">
        <f>IF(A157="","",会员档案!$B157)</f>
        <v/>
      </c>
      <c r="C157" s="31">
        <f>IF(A157="","",会员档案!$D157)</f>
        <v/>
      </c>
      <c r="D157" s="31">
        <f>IF(A157="","",会员档案!$F157)</f>
        <v/>
      </c>
      <c r="E157" s="58">
        <f>IF(A157="","",会员档案!$S157)</f>
        <v/>
      </c>
      <c r="F157" s="31">
        <f>IF(A157="","",会员档案!$T157)</f>
        <v/>
      </c>
      <c r="G157" s="31">
        <f>IF(A157="","",会员档案!$O157)</f>
        <v/>
      </c>
      <c r="H157" s="31">
        <f>IF(A157="","",会员档案!$P157)</f>
        <v/>
      </c>
      <c r="I157" s="55" t="n"/>
      <c r="J157" s="11" t="n"/>
      <c r="K157" s="11" t="n"/>
    </row>
    <row r="158">
      <c r="A158" s="31">
        <f>IF(会员档案!$U158="沉睡客户",会员档案!$A158,"")</f>
        <v/>
      </c>
      <c r="B158" s="31">
        <f>IF(A158="","",会员档案!$B158)</f>
        <v/>
      </c>
      <c r="C158" s="31">
        <f>IF(A158="","",会员档案!$D158)</f>
        <v/>
      </c>
      <c r="D158" s="31">
        <f>IF(A158="","",会员档案!$F158)</f>
        <v/>
      </c>
      <c r="E158" s="58">
        <f>IF(A158="","",会员档案!$S158)</f>
        <v/>
      </c>
      <c r="F158" s="31">
        <f>IF(A158="","",会员档案!$T158)</f>
        <v/>
      </c>
      <c r="G158" s="31">
        <f>IF(A158="","",会员档案!$O158)</f>
        <v/>
      </c>
      <c r="H158" s="31">
        <f>IF(A158="","",会员档案!$P158)</f>
        <v/>
      </c>
      <c r="I158" s="55" t="n"/>
      <c r="J158" s="11" t="n"/>
      <c r="K158" s="11" t="n"/>
    </row>
    <row r="159">
      <c r="A159" s="31">
        <f>IF(会员档案!$U159="沉睡客户",会员档案!$A159,"")</f>
        <v/>
      </c>
      <c r="B159" s="31">
        <f>IF(A159="","",会员档案!$B159)</f>
        <v/>
      </c>
      <c r="C159" s="31">
        <f>IF(A159="","",会员档案!$D159)</f>
        <v/>
      </c>
      <c r="D159" s="31">
        <f>IF(A159="","",会员档案!$F159)</f>
        <v/>
      </c>
      <c r="E159" s="58">
        <f>IF(A159="","",会员档案!$S159)</f>
        <v/>
      </c>
      <c r="F159" s="31">
        <f>IF(A159="","",会员档案!$T159)</f>
        <v/>
      </c>
      <c r="G159" s="31">
        <f>IF(A159="","",会员档案!$O159)</f>
        <v/>
      </c>
      <c r="H159" s="31">
        <f>IF(A159="","",会员档案!$P159)</f>
        <v/>
      </c>
      <c r="I159" s="55" t="n"/>
      <c r="J159" s="11" t="n"/>
      <c r="K159" s="11" t="n"/>
    </row>
    <row r="160">
      <c r="A160" s="31">
        <f>IF(会员档案!$U160="沉睡客户",会员档案!$A160,"")</f>
        <v/>
      </c>
      <c r="B160" s="31">
        <f>IF(A160="","",会员档案!$B160)</f>
        <v/>
      </c>
      <c r="C160" s="31">
        <f>IF(A160="","",会员档案!$D160)</f>
        <v/>
      </c>
      <c r="D160" s="31">
        <f>IF(A160="","",会员档案!$F160)</f>
        <v/>
      </c>
      <c r="E160" s="58">
        <f>IF(A160="","",会员档案!$S160)</f>
        <v/>
      </c>
      <c r="F160" s="31">
        <f>IF(A160="","",会员档案!$T160)</f>
        <v/>
      </c>
      <c r="G160" s="31">
        <f>IF(A160="","",会员档案!$O160)</f>
        <v/>
      </c>
      <c r="H160" s="31">
        <f>IF(A160="","",会员档案!$P160)</f>
        <v/>
      </c>
      <c r="I160" s="55" t="n"/>
      <c r="J160" s="11" t="n"/>
      <c r="K160" s="11" t="n"/>
    </row>
    <row r="161">
      <c r="A161" s="31">
        <f>IF(会员档案!$U161="沉睡客户",会员档案!$A161,"")</f>
        <v/>
      </c>
      <c r="B161" s="31">
        <f>IF(A161="","",会员档案!$B161)</f>
        <v/>
      </c>
      <c r="C161" s="31">
        <f>IF(A161="","",会员档案!$D161)</f>
        <v/>
      </c>
      <c r="D161" s="31">
        <f>IF(A161="","",会员档案!$F161)</f>
        <v/>
      </c>
      <c r="E161" s="58">
        <f>IF(A161="","",会员档案!$S161)</f>
        <v/>
      </c>
      <c r="F161" s="31">
        <f>IF(A161="","",会员档案!$T161)</f>
        <v/>
      </c>
      <c r="G161" s="31">
        <f>IF(A161="","",会员档案!$O161)</f>
        <v/>
      </c>
      <c r="H161" s="31">
        <f>IF(A161="","",会员档案!$P161)</f>
        <v/>
      </c>
      <c r="I161" s="55" t="n"/>
      <c r="J161" s="11" t="n"/>
      <c r="K161" s="11" t="n"/>
    </row>
    <row r="162">
      <c r="A162" s="31">
        <f>IF(会员档案!$U162="沉睡客户",会员档案!$A162,"")</f>
        <v/>
      </c>
      <c r="B162" s="31">
        <f>IF(A162="","",会员档案!$B162)</f>
        <v/>
      </c>
      <c r="C162" s="31">
        <f>IF(A162="","",会员档案!$D162)</f>
        <v/>
      </c>
      <c r="D162" s="31">
        <f>IF(A162="","",会员档案!$F162)</f>
        <v/>
      </c>
      <c r="E162" s="58">
        <f>IF(A162="","",会员档案!$S162)</f>
        <v/>
      </c>
      <c r="F162" s="31">
        <f>IF(A162="","",会员档案!$T162)</f>
        <v/>
      </c>
      <c r="G162" s="31">
        <f>IF(A162="","",会员档案!$O162)</f>
        <v/>
      </c>
      <c r="H162" s="31">
        <f>IF(A162="","",会员档案!$P162)</f>
        <v/>
      </c>
      <c r="I162" s="55" t="n"/>
      <c r="J162" s="11" t="n"/>
      <c r="K162" s="11" t="n"/>
    </row>
    <row r="163">
      <c r="A163" s="31">
        <f>IF(会员档案!$U163="沉睡客户",会员档案!$A163,"")</f>
        <v/>
      </c>
      <c r="B163" s="31">
        <f>IF(A163="","",会员档案!$B163)</f>
        <v/>
      </c>
      <c r="C163" s="31">
        <f>IF(A163="","",会员档案!$D163)</f>
        <v/>
      </c>
      <c r="D163" s="31">
        <f>IF(A163="","",会员档案!$F163)</f>
        <v/>
      </c>
      <c r="E163" s="58">
        <f>IF(A163="","",会员档案!$S163)</f>
        <v/>
      </c>
      <c r="F163" s="31">
        <f>IF(A163="","",会员档案!$T163)</f>
        <v/>
      </c>
      <c r="G163" s="31">
        <f>IF(A163="","",会员档案!$O163)</f>
        <v/>
      </c>
      <c r="H163" s="31">
        <f>IF(A163="","",会员档案!$P163)</f>
        <v/>
      </c>
      <c r="I163" s="55" t="n"/>
      <c r="J163" s="11" t="n"/>
      <c r="K163" s="11" t="n"/>
    </row>
    <row r="164">
      <c r="A164" s="31">
        <f>IF(会员档案!$U164="沉睡客户",会员档案!$A164,"")</f>
        <v/>
      </c>
      <c r="B164" s="31">
        <f>IF(A164="","",会员档案!$B164)</f>
        <v/>
      </c>
      <c r="C164" s="31">
        <f>IF(A164="","",会员档案!$D164)</f>
        <v/>
      </c>
      <c r="D164" s="31">
        <f>IF(A164="","",会员档案!$F164)</f>
        <v/>
      </c>
      <c r="E164" s="58">
        <f>IF(A164="","",会员档案!$S164)</f>
        <v/>
      </c>
      <c r="F164" s="31">
        <f>IF(A164="","",会员档案!$T164)</f>
        <v/>
      </c>
      <c r="G164" s="31">
        <f>IF(A164="","",会员档案!$O164)</f>
        <v/>
      </c>
      <c r="H164" s="31">
        <f>IF(A164="","",会员档案!$P164)</f>
        <v/>
      </c>
      <c r="I164" s="55" t="n"/>
      <c r="J164" s="11" t="n"/>
      <c r="K164" s="11" t="n"/>
    </row>
    <row r="165">
      <c r="A165" s="31">
        <f>IF(会员档案!$U165="沉睡客户",会员档案!$A165,"")</f>
        <v/>
      </c>
      <c r="B165" s="31">
        <f>IF(A165="","",会员档案!$B165)</f>
        <v/>
      </c>
      <c r="C165" s="31">
        <f>IF(A165="","",会员档案!$D165)</f>
        <v/>
      </c>
      <c r="D165" s="31">
        <f>IF(A165="","",会员档案!$F165)</f>
        <v/>
      </c>
      <c r="E165" s="58">
        <f>IF(A165="","",会员档案!$S165)</f>
        <v/>
      </c>
      <c r="F165" s="31">
        <f>IF(A165="","",会员档案!$T165)</f>
        <v/>
      </c>
      <c r="G165" s="31">
        <f>IF(A165="","",会员档案!$O165)</f>
        <v/>
      </c>
      <c r="H165" s="31">
        <f>IF(A165="","",会员档案!$P165)</f>
        <v/>
      </c>
      <c r="I165" s="55" t="n"/>
      <c r="J165" s="11" t="n"/>
      <c r="K165" s="11" t="n"/>
    </row>
    <row r="166">
      <c r="A166" s="31">
        <f>IF(会员档案!$U166="沉睡客户",会员档案!$A166,"")</f>
        <v/>
      </c>
      <c r="B166" s="31">
        <f>IF(A166="","",会员档案!$B166)</f>
        <v/>
      </c>
      <c r="C166" s="31">
        <f>IF(A166="","",会员档案!$D166)</f>
        <v/>
      </c>
      <c r="D166" s="31">
        <f>IF(A166="","",会员档案!$F166)</f>
        <v/>
      </c>
      <c r="E166" s="58">
        <f>IF(A166="","",会员档案!$S166)</f>
        <v/>
      </c>
      <c r="F166" s="31">
        <f>IF(A166="","",会员档案!$T166)</f>
        <v/>
      </c>
      <c r="G166" s="31">
        <f>IF(A166="","",会员档案!$O166)</f>
        <v/>
      </c>
      <c r="H166" s="31">
        <f>IF(A166="","",会员档案!$P166)</f>
        <v/>
      </c>
      <c r="I166" s="55" t="n"/>
      <c r="J166" s="11" t="n"/>
      <c r="K166" s="11" t="n"/>
    </row>
    <row r="167">
      <c r="A167" s="31">
        <f>IF(会员档案!$U167="沉睡客户",会员档案!$A167,"")</f>
        <v/>
      </c>
      <c r="B167" s="31">
        <f>IF(A167="","",会员档案!$B167)</f>
        <v/>
      </c>
      <c r="C167" s="31">
        <f>IF(A167="","",会员档案!$D167)</f>
        <v/>
      </c>
      <c r="D167" s="31">
        <f>IF(A167="","",会员档案!$F167)</f>
        <v/>
      </c>
      <c r="E167" s="58">
        <f>IF(A167="","",会员档案!$S167)</f>
        <v/>
      </c>
      <c r="F167" s="31">
        <f>IF(A167="","",会员档案!$T167)</f>
        <v/>
      </c>
      <c r="G167" s="31">
        <f>IF(A167="","",会员档案!$O167)</f>
        <v/>
      </c>
      <c r="H167" s="31">
        <f>IF(A167="","",会员档案!$P167)</f>
        <v/>
      </c>
      <c r="I167" s="55" t="n"/>
      <c r="J167" s="11" t="n"/>
      <c r="K167" s="11" t="n"/>
    </row>
    <row r="168">
      <c r="A168" s="31">
        <f>IF(会员档案!$U168="沉睡客户",会员档案!$A168,"")</f>
        <v/>
      </c>
      <c r="B168" s="31">
        <f>IF(A168="","",会员档案!$B168)</f>
        <v/>
      </c>
      <c r="C168" s="31">
        <f>IF(A168="","",会员档案!$D168)</f>
        <v/>
      </c>
      <c r="D168" s="31">
        <f>IF(A168="","",会员档案!$F168)</f>
        <v/>
      </c>
      <c r="E168" s="58">
        <f>IF(A168="","",会员档案!$S168)</f>
        <v/>
      </c>
      <c r="F168" s="31">
        <f>IF(A168="","",会员档案!$T168)</f>
        <v/>
      </c>
      <c r="G168" s="31">
        <f>IF(A168="","",会员档案!$O168)</f>
        <v/>
      </c>
      <c r="H168" s="31">
        <f>IF(A168="","",会员档案!$P168)</f>
        <v/>
      </c>
      <c r="I168" s="55" t="n"/>
      <c r="J168" s="11" t="n"/>
      <c r="K168" s="11" t="n"/>
    </row>
    <row r="169">
      <c r="A169" s="31">
        <f>IF(会员档案!$U169="沉睡客户",会员档案!$A169,"")</f>
        <v/>
      </c>
      <c r="B169" s="31">
        <f>IF(A169="","",会员档案!$B169)</f>
        <v/>
      </c>
      <c r="C169" s="31">
        <f>IF(A169="","",会员档案!$D169)</f>
        <v/>
      </c>
      <c r="D169" s="31">
        <f>IF(A169="","",会员档案!$F169)</f>
        <v/>
      </c>
      <c r="E169" s="58">
        <f>IF(A169="","",会员档案!$S169)</f>
        <v/>
      </c>
      <c r="F169" s="31">
        <f>IF(A169="","",会员档案!$T169)</f>
        <v/>
      </c>
      <c r="G169" s="31">
        <f>IF(A169="","",会员档案!$O169)</f>
        <v/>
      </c>
      <c r="H169" s="31">
        <f>IF(A169="","",会员档案!$P169)</f>
        <v/>
      </c>
      <c r="I169" s="55" t="n"/>
      <c r="J169" s="11" t="n"/>
      <c r="K169" s="11" t="n"/>
    </row>
    <row r="170">
      <c r="A170" s="31">
        <f>IF(会员档案!$U170="沉睡客户",会员档案!$A170,"")</f>
        <v/>
      </c>
      <c r="B170" s="31">
        <f>IF(A170="","",会员档案!$B170)</f>
        <v/>
      </c>
      <c r="C170" s="31">
        <f>IF(A170="","",会员档案!$D170)</f>
        <v/>
      </c>
      <c r="D170" s="31">
        <f>IF(A170="","",会员档案!$F170)</f>
        <v/>
      </c>
      <c r="E170" s="58">
        <f>IF(A170="","",会员档案!$S170)</f>
        <v/>
      </c>
      <c r="F170" s="31">
        <f>IF(A170="","",会员档案!$T170)</f>
        <v/>
      </c>
      <c r="G170" s="31">
        <f>IF(A170="","",会员档案!$O170)</f>
        <v/>
      </c>
      <c r="H170" s="31">
        <f>IF(A170="","",会员档案!$P170)</f>
        <v/>
      </c>
      <c r="I170" s="55" t="n"/>
      <c r="J170" s="11" t="n"/>
      <c r="K170" s="11" t="n"/>
    </row>
    <row r="171">
      <c r="A171" s="31">
        <f>IF(会员档案!$U171="沉睡客户",会员档案!$A171,"")</f>
        <v/>
      </c>
      <c r="B171" s="31">
        <f>IF(A171="","",会员档案!$B171)</f>
        <v/>
      </c>
      <c r="C171" s="31">
        <f>IF(A171="","",会员档案!$D171)</f>
        <v/>
      </c>
      <c r="D171" s="31">
        <f>IF(A171="","",会员档案!$F171)</f>
        <v/>
      </c>
      <c r="E171" s="58">
        <f>IF(A171="","",会员档案!$S171)</f>
        <v/>
      </c>
      <c r="F171" s="31">
        <f>IF(A171="","",会员档案!$T171)</f>
        <v/>
      </c>
      <c r="G171" s="31">
        <f>IF(A171="","",会员档案!$O171)</f>
        <v/>
      </c>
      <c r="H171" s="31">
        <f>IF(A171="","",会员档案!$P171)</f>
        <v/>
      </c>
      <c r="I171" s="55" t="n"/>
      <c r="J171" s="11" t="n"/>
      <c r="K171" s="11" t="n"/>
    </row>
    <row r="172">
      <c r="A172" s="31">
        <f>IF(会员档案!$U172="沉睡客户",会员档案!$A172,"")</f>
        <v/>
      </c>
      <c r="B172" s="31">
        <f>IF(A172="","",会员档案!$B172)</f>
        <v/>
      </c>
      <c r="C172" s="31">
        <f>IF(A172="","",会员档案!$D172)</f>
        <v/>
      </c>
      <c r="D172" s="31">
        <f>IF(A172="","",会员档案!$F172)</f>
        <v/>
      </c>
      <c r="E172" s="58">
        <f>IF(A172="","",会员档案!$S172)</f>
        <v/>
      </c>
      <c r="F172" s="31">
        <f>IF(A172="","",会员档案!$T172)</f>
        <v/>
      </c>
      <c r="G172" s="31">
        <f>IF(A172="","",会员档案!$O172)</f>
        <v/>
      </c>
      <c r="H172" s="31">
        <f>IF(A172="","",会员档案!$P172)</f>
        <v/>
      </c>
      <c r="I172" s="55" t="n"/>
      <c r="J172" s="11" t="n"/>
      <c r="K172" s="11" t="n"/>
    </row>
    <row r="173">
      <c r="A173" s="31">
        <f>IF(会员档案!$U173="沉睡客户",会员档案!$A173,"")</f>
        <v/>
      </c>
      <c r="B173" s="31">
        <f>IF(A173="","",会员档案!$B173)</f>
        <v/>
      </c>
      <c r="C173" s="31">
        <f>IF(A173="","",会员档案!$D173)</f>
        <v/>
      </c>
      <c r="D173" s="31">
        <f>IF(A173="","",会员档案!$F173)</f>
        <v/>
      </c>
      <c r="E173" s="58">
        <f>IF(A173="","",会员档案!$S173)</f>
        <v/>
      </c>
      <c r="F173" s="31">
        <f>IF(A173="","",会员档案!$T173)</f>
        <v/>
      </c>
      <c r="G173" s="31">
        <f>IF(A173="","",会员档案!$O173)</f>
        <v/>
      </c>
      <c r="H173" s="31">
        <f>IF(A173="","",会员档案!$P173)</f>
        <v/>
      </c>
      <c r="I173" s="55" t="n"/>
      <c r="J173" s="11" t="n"/>
      <c r="K173" s="11" t="n"/>
    </row>
    <row r="174">
      <c r="A174" s="31">
        <f>IF(会员档案!$U174="沉睡客户",会员档案!$A174,"")</f>
        <v/>
      </c>
      <c r="B174" s="31">
        <f>IF(A174="","",会员档案!$B174)</f>
        <v/>
      </c>
      <c r="C174" s="31">
        <f>IF(A174="","",会员档案!$D174)</f>
        <v/>
      </c>
      <c r="D174" s="31">
        <f>IF(A174="","",会员档案!$F174)</f>
        <v/>
      </c>
      <c r="E174" s="58">
        <f>IF(A174="","",会员档案!$S174)</f>
        <v/>
      </c>
      <c r="F174" s="31">
        <f>IF(A174="","",会员档案!$T174)</f>
        <v/>
      </c>
      <c r="G174" s="31">
        <f>IF(A174="","",会员档案!$O174)</f>
        <v/>
      </c>
      <c r="H174" s="31">
        <f>IF(A174="","",会员档案!$P174)</f>
        <v/>
      </c>
      <c r="I174" s="55" t="n"/>
      <c r="J174" s="11" t="n"/>
      <c r="K174" s="11" t="n"/>
    </row>
    <row r="175">
      <c r="A175" s="31">
        <f>IF(会员档案!$U175="沉睡客户",会员档案!$A175,"")</f>
        <v/>
      </c>
      <c r="B175" s="31">
        <f>IF(A175="","",会员档案!$B175)</f>
        <v/>
      </c>
      <c r="C175" s="31">
        <f>IF(A175="","",会员档案!$D175)</f>
        <v/>
      </c>
      <c r="D175" s="31">
        <f>IF(A175="","",会员档案!$F175)</f>
        <v/>
      </c>
      <c r="E175" s="58">
        <f>IF(A175="","",会员档案!$S175)</f>
        <v/>
      </c>
      <c r="F175" s="31">
        <f>IF(A175="","",会员档案!$T175)</f>
        <v/>
      </c>
      <c r="G175" s="31">
        <f>IF(A175="","",会员档案!$O175)</f>
        <v/>
      </c>
      <c r="H175" s="31">
        <f>IF(A175="","",会员档案!$P175)</f>
        <v/>
      </c>
      <c r="I175" s="55" t="n"/>
      <c r="J175" s="11" t="n"/>
      <c r="K175" s="11" t="n"/>
    </row>
    <row r="176">
      <c r="A176" s="31">
        <f>IF(会员档案!$U176="沉睡客户",会员档案!$A176,"")</f>
        <v/>
      </c>
      <c r="B176" s="31">
        <f>IF(A176="","",会员档案!$B176)</f>
        <v/>
      </c>
      <c r="C176" s="31">
        <f>IF(A176="","",会员档案!$D176)</f>
        <v/>
      </c>
      <c r="D176" s="31">
        <f>IF(A176="","",会员档案!$F176)</f>
        <v/>
      </c>
      <c r="E176" s="58">
        <f>IF(A176="","",会员档案!$S176)</f>
        <v/>
      </c>
      <c r="F176" s="31">
        <f>IF(A176="","",会员档案!$T176)</f>
        <v/>
      </c>
      <c r="G176" s="31">
        <f>IF(A176="","",会员档案!$O176)</f>
        <v/>
      </c>
      <c r="H176" s="31">
        <f>IF(A176="","",会员档案!$P176)</f>
        <v/>
      </c>
      <c r="I176" s="55" t="n"/>
      <c r="J176" s="11" t="n"/>
      <c r="K176" s="11" t="n"/>
    </row>
    <row r="177">
      <c r="A177" s="31">
        <f>IF(会员档案!$U177="沉睡客户",会员档案!$A177,"")</f>
        <v/>
      </c>
      <c r="B177" s="31">
        <f>IF(A177="","",会员档案!$B177)</f>
        <v/>
      </c>
      <c r="C177" s="31">
        <f>IF(A177="","",会员档案!$D177)</f>
        <v/>
      </c>
      <c r="D177" s="31">
        <f>IF(A177="","",会员档案!$F177)</f>
        <v/>
      </c>
      <c r="E177" s="58">
        <f>IF(A177="","",会员档案!$S177)</f>
        <v/>
      </c>
      <c r="F177" s="31">
        <f>IF(A177="","",会员档案!$T177)</f>
        <v/>
      </c>
      <c r="G177" s="31">
        <f>IF(A177="","",会员档案!$O177)</f>
        <v/>
      </c>
      <c r="H177" s="31">
        <f>IF(A177="","",会员档案!$P177)</f>
        <v/>
      </c>
      <c r="I177" s="55" t="n"/>
      <c r="J177" s="11" t="n"/>
      <c r="K177" s="11" t="n"/>
    </row>
    <row r="178">
      <c r="A178" s="31">
        <f>IF(会员档案!$U178="沉睡客户",会员档案!$A178,"")</f>
        <v/>
      </c>
      <c r="B178" s="31">
        <f>IF(A178="","",会员档案!$B178)</f>
        <v/>
      </c>
      <c r="C178" s="31">
        <f>IF(A178="","",会员档案!$D178)</f>
        <v/>
      </c>
      <c r="D178" s="31">
        <f>IF(A178="","",会员档案!$F178)</f>
        <v/>
      </c>
      <c r="E178" s="58">
        <f>IF(A178="","",会员档案!$S178)</f>
        <v/>
      </c>
      <c r="F178" s="31">
        <f>IF(A178="","",会员档案!$T178)</f>
        <v/>
      </c>
      <c r="G178" s="31">
        <f>IF(A178="","",会员档案!$O178)</f>
        <v/>
      </c>
      <c r="H178" s="31">
        <f>IF(A178="","",会员档案!$P178)</f>
        <v/>
      </c>
      <c r="I178" s="55" t="n"/>
      <c r="J178" s="11" t="n"/>
      <c r="K178" s="11" t="n"/>
    </row>
    <row r="179">
      <c r="A179" s="31">
        <f>IF(会员档案!$U179="沉睡客户",会员档案!$A179,"")</f>
        <v/>
      </c>
      <c r="B179" s="31">
        <f>IF(A179="","",会员档案!$B179)</f>
        <v/>
      </c>
      <c r="C179" s="31">
        <f>IF(A179="","",会员档案!$D179)</f>
        <v/>
      </c>
      <c r="D179" s="31">
        <f>IF(A179="","",会员档案!$F179)</f>
        <v/>
      </c>
      <c r="E179" s="58">
        <f>IF(A179="","",会员档案!$S179)</f>
        <v/>
      </c>
      <c r="F179" s="31">
        <f>IF(A179="","",会员档案!$T179)</f>
        <v/>
      </c>
      <c r="G179" s="31">
        <f>IF(A179="","",会员档案!$O179)</f>
        <v/>
      </c>
      <c r="H179" s="31">
        <f>IF(A179="","",会员档案!$P179)</f>
        <v/>
      </c>
      <c r="I179" s="55" t="n"/>
      <c r="J179" s="11" t="n"/>
      <c r="K179" s="11" t="n"/>
    </row>
    <row r="180">
      <c r="A180" s="31">
        <f>IF(会员档案!$U180="沉睡客户",会员档案!$A180,"")</f>
        <v/>
      </c>
      <c r="B180" s="31">
        <f>IF(A180="","",会员档案!$B180)</f>
        <v/>
      </c>
      <c r="C180" s="31">
        <f>IF(A180="","",会员档案!$D180)</f>
        <v/>
      </c>
      <c r="D180" s="31">
        <f>IF(A180="","",会员档案!$F180)</f>
        <v/>
      </c>
      <c r="E180" s="58">
        <f>IF(A180="","",会员档案!$S180)</f>
        <v/>
      </c>
      <c r="F180" s="31">
        <f>IF(A180="","",会员档案!$T180)</f>
        <v/>
      </c>
      <c r="G180" s="31">
        <f>IF(A180="","",会员档案!$O180)</f>
        <v/>
      </c>
      <c r="H180" s="31">
        <f>IF(A180="","",会员档案!$P180)</f>
        <v/>
      </c>
      <c r="I180" s="55" t="n"/>
      <c r="J180" s="11" t="n"/>
      <c r="K180" s="11" t="n"/>
    </row>
    <row r="181">
      <c r="A181" s="31">
        <f>IF(会员档案!$U181="沉睡客户",会员档案!$A181,"")</f>
        <v/>
      </c>
      <c r="B181" s="31">
        <f>IF(A181="","",会员档案!$B181)</f>
        <v/>
      </c>
      <c r="C181" s="31">
        <f>IF(A181="","",会员档案!$D181)</f>
        <v/>
      </c>
      <c r="D181" s="31">
        <f>IF(A181="","",会员档案!$F181)</f>
        <v/>
      </c>
      <c r="E181" s="58">
        <f>IF(A181="","",会员档案!$S181)</f>
        <v/>
      </c>
      <c r="F181" s="31">
        <f>IF(A181="","",会员档案!$T181)</f>
        <v/>
      </c>
      <c r="G181" s="31">
        <f>IF(A181="","",会员档案!$O181)</f>
        <v/>
      </c>
      <c r="H181" s="31">
        <f>IF(A181="","",会员档案!$P181)</f>
        <v/>
      </c>
      <c r="I181" s="55" t="n"/>
      <c r="J181" s="11" t="n"/>
      <c r="K181" s="11" t="n"/>
    </row>
    <row r="182">
      <c r="A182" s="31">
        <f>IF(会员档案!$U182="沉睡客户",会员档案!$A182,"")</f>
        <v/>
      </c>
      <c r="B182" s="31">
        <f>IF(A182="","",会员档案!$B182)</f>
        <v/>
      </c>
      <c r="C182" s="31">
        <f>IF(A182="","",会员档案!$D182)</f>
        <v/>
      </c>
      <c r="D182" s="31">
        <f>IF(A182="","",会员档案!$F182)</f>
        <v/>
      </c>
      <c r="E182" s="58">
        <f>IF(A182="","",会员档案!$S182)</f>
        <v/>
      </c>
      <c r="F182" s="31">
        <f>IF(A182="","",会员档案!$T182)</f>
        <v/>
      </c>
      <c r="G182" s="31">
        <f>IF(A182="","",会员档案!$O182)</f>
        <v/>
      </c>
      <c r="H182" s="31">
        <f>IF(A182="","",会员档案!$P182)</f>
        <v/>
      </c>
      <c r="I182" s="55" t="n"/>
      <c r="J182" s="11" t="n"/>
      <c r="K182" s="11" t="n"/>
    </row>
    <row r="183">
      <c r="A183" s="31">
        <f>IF(会员档案!$U183="沉睡客户",会员档案!$A183,"")</f>
        <v/>
      </c>
      <c r="B183" s="31">
        <f>IF(A183="","",会员档案!$B183)</f>
        <v/>
      </c>
      <c r="C183" s="31">
        <f>IF(A183="","",会员档案!$D183)</f>
        <v/>
      </c>
      <c r="D183" s="31">
        <f>IF(A183="","",会员档案!$F183)</f>
        <v/>
      </c>
      <c r="E183" s="58">
        <f>IF(A183="","",会员档案!$S183)</f>
        <v/>
      </c>
      <c r="F183" s="31">
        <f>IF(A183="","",会员档案!$T183)</f>
        <v/>
      </c>
      <c r="G183" s="31">
        <f>IF(A183="","",会员档案!$O183)</f>
        <v/>
      </c>
      <c r="H183" s="31">
        <f>IF(A183="","",会员档案!$P183)</f>
        <v/>
      </c>
      <c r="I183" s="55" t="n"/>
      <c r="J183" s="11" t="n"/>
      <c r="K183" s="11" t="n"/>
    </row>
    <row r="184">
      <c r="A184" s="31">
        <f>IF(会员档案!$U184="沉睡客户",会员档案!$A184,"")</f>
        <v/>
      </c>
      <c r="B184" s="31">
        <f>IF(A184="","",会员档案!$B184)</f>
        <v/>
      </c>
      <c r="C184" s="31">
        <f>IF(A184="","",会员档案!$D184)</f>
        <v/>
      </c>
      <c r="D184" s="31">
        <f>IF(A184="","",会员档案!$F184)</f>
        <v/>
      </c>
      <c r="E184" s="58">
        <f>IF(A184="","",会员档案!$S184)</f>
        <v/>
      </c>
      <c r="F184" s="31">
        <f>IF(A184="","",会员档案!$T184)</f>
        <v/>
      </c>
      <c r="G184" s="31">
        <f>IF(A184="","",会员档案!$O184)</f>
        <v/>
      </c>
      <c r="H184" s="31">
        <f>IF(A184="","",会员档案!$P184)</f>
        <v/>
      </c>
      <c r="I184" s="55" t="n"/>
      <c r="J184" s="11" t="n"/>
      <c r="K184" s="11" t="n"/>
    </row>
    <row r="185">
      <c r="A185" s="31">
        <f>IF(会员档案!$U185="沉睡客户",会员档案!$A185,"")</f>
        <v/>
      </c>
      <c r="B185" s="31">
        <f>IF(A185="","",会员档案!$B185)</f>
        <v/>
      </c>
      <c r="C185" s="31">
        <f>IF(A185="","",会员档案!$D185)</f>
        <v/>
      </c>
      <c r="D185" s="31">
        <f>IF(A185="","",会员档案!$F185)</f>
        <v/>
      </c>
      <c r="E185" s="58">
        <f>IF(A185="","",会员档案!$S185)</f>
        <v/>
      </c>
      <c r="F185" s="31">
        <f>IF(A185="","",会员档案!$T185)</f>
        <v/>
      </c>
      <c r="G185" s="31">
        <f>IF(A185="","",会员档案!$O185)</f>
        <v/>
      </c>
      <c r="H185" s="31">
        <f>IF(A185="","",会员档案!$P185)</f>
        <v/>
      </c>
      <c r="I185" s="55" t="n"/>
      <c r="J185" s="11" t="n"/>
      <c r="K185" s="11" t="n"/>
    </row>
    <row r="186">
      <c r="A186" s="31">
        <f>IF(会员档案!$U186="沉睡客户",会员档案!$A186,"")</f>
        <v/>
      </c>
      <c r="B186" s="31">
        <f>IF(A186="","",会员档案!$B186)</f>
        <v/>
      </c>
      <c r="C186" s="31">
        <f>IF(A186="","",会员档案!$D186)</f>
        <v/>
      </c>
      <c r="D186" s="31">
        <f>IF(A186="","",会员档案!$F186)</f>
        <v/>
      </c>
      <c r="E186" s="58">
        <f>IF(A186="","",会员档案!$S186)</f>
        <v/>
      </c>
      <c r="F186" s="31">
        <f>IF(A186="","",会员档案!$T186)</f>
        <v/>
      </c>
      <c r="G186" s="31">
        <f>IF(A186="","",会员档案!$O186)</f>
        <v/>
      </c>
      <c r="H186" s="31">
        <f>IF(A186="","",会员档案!$P186)</f>
        <v/>
      </c>
      <c r="I186" s="55" t="n"/>
      <c r="J186" s="11" t="n"/>
      <c r="K186" s="11" t="n"/>
    </row>
    <row r="187">
      <c r="A187" s="31">
        <f>IF(会员档案!$U187="沉睡客户",会员档案!$A187,"")</f>
        <v/>
      </c>
      <c r="B187" s="31">
        <f>IF(A187="","",会员档案!$B187)</f>
        <v/>
      </c>
      <c r="C187" s="31">
        <f>IF(A187="","",会员档案!$D187)</f>
        <v/>
      </c>
      <c r="D187" s="31">
        <f>IF(A187="","",会员档案!$F187)</f>
        <v/>
      </c>
      <c r="E187" s="58">
        <f>IF(A187="","",会员档案!$S187)</f>
        <v/>
      </c>
      <c r="F187" s="31">
        <f>IF(A187="","",会员档案!$T187)</f>
        <v/>
      </c>
      <c r="G187" s="31">
        <f>IF(A187="","",会员档案!$O187)</f>
        <v/>
      </c>
      <c r="H187" s="31">
        <f>IF(A187="","",会员档案!$P187)</f>
        <v/>
      </c>
      <c r="I187" s="55" t="n"/>
      <c r="J187" s="11" t="n"/>
      <c r="K187" s="11" t="n"/>
    </row>
    <row r="188">
      <c r="A188" s="31">
        <f>IF(会员档案!$U188="沉睡客户",会员档案!$A188,"")</f>
        <v/>
      </c>
      <c r="B188" s="31">
        <f>IF(A188="","",会员档案!$B188)</f>
        <v/>
      </c>
      <c r="C188" s="31">
        <f>IF(A188="","",会员档案!$D188)</f>
        <v/>
      </c>
      <c r="D188" s="31">
        <f>IF(A188="","",会员档案!$F188)</f>
        <v/>
      </c>
      <c r="E188" s="58">
        <f>IF(A188="","",会员档案!$S188)</f>
        <v/>
      </c>
      <c r="F188" s="31">
        <f>IF(A188="","",会员档案!$T188)</f>
        <v/>
      </c>
      <c r="G188" s="31">
        <f>IF(A188="","",会员档案!$O188)</f>
        <v/>
      </c>
      <c r="H188" s="31">
        <f>IF(A188="","",会员档案!$P188)</f>
        <v/>
      </c>
      <c r="I188" s="55" t="n"/>
      <c r="J188" s="11" t="n"/>
      <c r="K188" s="11" t="n"/>
    </row>
    <row r="189">
      <c r="A189" s="31">
        <f>IF(会员档案!$U189="沉睡客户",会员档案!$A189,"")</f>
        <v/>
      </c>
      <c r="B189" s="31">
        <f>IF(A189="","",会员档案!$B189)</f>
        <v/>
      </c>
      <c r="C189" s="31">
        <f>IF(A189="","",会员档案!$D189)</f>
        <v/>
      </c>
      <c r="D189" s="31">
        <f>IF(A189="","",会员档案!$F189)</f>
        <v/>
      </c>
      <c r="E189" s="58">
        <f>IF(A189="","",会员档案!$S189)</f>
        <v/>
      </c>
      <c r="F189" s="31">
        <f>IF(A189="","",会员档案!$T189)</f>
        <v/>
      </c>
      <c r="G189" s="31">
        <f>IF(A189="","",会员档案!$O189)</f>
        <v/>
      </c>
      <c r="H189" s="31">
        <f>IF(A189="","",会员档案!$P189)</f>
        <v/>
      </c>
      <c r="I189" s="55" t="n"/>
      <c r="J189" s="11" t="n"/>
      <c r="K189" s="11" t="n"/>
    </row>
    <row r="190">
      <c r="A190" s="31">
        <f>IF(会员档案!$U190="沉睡客户",会员档案!$A190,"")</f>
        <v/>
      </c>
      <c r="B190" s="31">
        <f>IF(A190="","",会员档案!$B190)</f>
        <v/>
      </c>
      <c r="C190" s="31">
        <f>IF(A190="","",会员档案!$D190)</f>
        <v/>
      </c>
      <c r="D190" s="31">
        <f>IF(A190="","",会员档案!$F190)</f>
        <v/>
      </c>
      <c r="E190" s="58">
        <f>IF(A190="","",会员档案!$S190)</f>
        <v/>
      </c>
      <c r="F190" s="31">
        <f>IF(A190="","",会员档案!$T190)</f>
        <v/>
      </c>
      <c r="G190" s="31">
        <f>IF(A190="","",会员档案!$O190)</f>
        <v/>
      </c>
      <c r="H190" s="31">
        <f>IF(A190="","",会员档案!$P190)</f>
        <v/>
      </c>
      <c r="I190" s="55" t="n"/>
      <c r="J190" s="11" t="n"/>
      <c r="K190" s="11" t="n"/>
    </row>
    <row r="191">
      <c r="A191" s="31">
        <f>IF(会员档案!$U191="沉睡客户",会员档案!$A191,"")</f>
        <v/>
      </c>
      <c r="B191" s="31">
        <f>IF(A191="","",会员档案!$B191)</f>
        <v/>
      </c>
      <c r="C191" s="31">
        <f>IF(A191="","",会员档案!$D191)</f>
        <v/>
      </c>
      <c r="D191" s="31">
        <f>IF(A191="","",会员档案!$F191)</f>
        <v/>
      </c>
      <c r="E191" s="58">
        <f>IF(A191="","",会员档案!$S191)</f>
        <v/>
      </c>
      <c r="F191" s="31">
        <f>IF(A191="","",会员档案!$T191)</f>
        <v/>
      </c>
      <c r="G191" s="31">
        <f>IF(A191="","",会员档案!$O191)</f>
        <v/>
      </c>
      <c r="H191" s="31">
        <f>IF(A191="","",会员档案!$P191)</f>
        <v/>
      </c>
      <c r="I191" s="55" t="n"/>
      <c r="J191" s="11" t="n"/>
      <c r="K191" s="11" t="n"/>
    </row>
    <row r="192">
      <c r="A192" s="31">
        <f>IF(会员档案!$U192="沉睡客户",会员档案!$A192,"")</f>
        <v/>
      </c>
      <c r="B192" s="31">
        <f>IF(A192="","",会员档案!$B192)</f>
        <v/>
      </c>
      <c r="C192" s="31">
        <f>IF(A192="","",会员档案!$D192)</f>
        <v/>
      </c>
      <c r="D192" s="31">
        <f>IF(A192="","",会员档案!$F192)</f>
        <v/>
      </c>
      <c r="E192" s="58">
        <f>IF(A192="","",会员档案!$S192)</f>
        <v/>
      </c>
      <c r="F192" s="31">
        <f>IF(A192="","",会员档案!$T192)</f>
        <v/>
      </c>
      <c r="G192" s="31">
        <f>IF(A192="","",会员档案!$O192)</f>
        <v/>
      </c>
      <c r="H192" s="31">
        <f>IF(A192="","",会员档案!$P192)</f>
        <v/>
      </c>
      <c r="I192" s="55" t="n"/>
      <c r="J192" s="11" t="n"/>
      <c r="K192" s="11" t="n"/>
    </row>
    <row r="193">
      <c r="A193" s="31">
        <f>IF(会员档案!$U193="沉睡客户",会员档案!$A193,"")</f>
        <v/>
      </c>
      <c r="B193" s="31">
        <f>IF(A193="","",会员档案!$B193)</f>
        <v/>
      </c>
      <c r="C193" s="31">
        <f>IF(A193="","",会员档案!$D193)</f>
        <v/>
      </c>
      <c r="D193" s="31">
        <f>IF(A193="","",会员档案!$F193)</f>
        <v/>
      </c>
      <c r="E193" s="58">
        <f>IF(A193="","",会员档案!$S193)</f>
        <v/>
      </c>
      <c r="F193" s="31">
        <f>IF(A193="","",会员档案!$T193)</f>
        <v/>
      </c>
      <c r="G193" s="31">
        <f>IF(A193="","",会员档案!$O193)</f>
        <v/>
      </c>
      <c r="H193" s="31">
        <f>IF(A193="","",会员档案!$P193)</f>
        <v/>
      </c>
      <c r="I193" s="55" t="n"/>
      <c r="J193" s="11" t="n"/>
      <c r="K193" s="11" t="n"/>
    </row>
    <row r="194">
      <c r="A194" s="31">
        <f>IF(会员档案!$U194="沉睡客户",会员档案!$A194,"")</f>
        <v/>
      </c>
      <c r="B194" s="31">
        <f>IF(A194="","",会员档案!$B194)</f>
        <v/>
      </c>
      <c r="C194" s="31">
        <f>IF(A194="","",会员档案!$D194)</f>
        <v/>
      </c>
      <c r="D194" s="31">
        <f>IF(A194="","",会员档案!$F194)</f>
        <v/>
      </c>
      <c r="E194" s="58">
        <f>IF(A194="","",会员档案!$S194)</f>
        <v/>
      </c>
      <c r="F194" s="31">
        <f>IF(A194="","",会员档案!$T194)</f>
        <v/>
      </c>
      <c r="G194" s="31">
        <f>IF(A194="","",会员档案!$O194)</f>
        <v/>
      </c>
      <c r="H194" s="31">
        <f>IF(A194="","",会员档案!$P194)</f>
        <v/>
      </c>
      <c r="I194" s="55" t="n"/>
      <c r="J194" s="11" t="n"/>
      <c r="K194" s="11" t="n"/>
    </row>
    <row r="195">
      <c r="A195" s="31">
        <f>IF(会员档案!$U195="沉睡客户",会员档案!$A195,"")</f>
        <v/>
      </c>
      <c r="B195" s="31">
        <f>IF(A195="","",会员档案!$B195)</f>
        <v/>
      </c>
      <c r="C195" s="31">
        <f>IF(A195="","",会员档案!$D195)</f>
        <v/>
      </c>
      <c r="D195" s="31">
        <f>IF(A195="","",会员档案!$F195)</f>
        <v/>
      </c>
      <c r="E195" s="58">
        <f>IF(A195="","",会员档案!$S195)</f>
        <v/>
      </c>
      <c r="F195" s="31">
        <f>IF(A195="","",会员档案!$T195)</f>
        <v/>
      </c>
      <c r="G195" s="31">
        <f>IF(A195="","",会员档案!$O195)</f>
        <v/>
      </c>
      <c r="H195" s="31">
        <f>IF(A195="","",会员档案!$P195)</f>
        <v/>
      </c>
      <c r="I195" s="55" t="n"/>
      <c r="J195" s="11" t="n"/>
      <c r="K195" s="11" t="n"/>
    </row>
    <row r="196">
      <c r="A196" s="31">
        <f>IF(会员档案!$U196="沉睡客户",会员档案!$A196,"")</f>
        <v/>
      </c>
      <c r="B196" s="31">
        <f>IF(A196="","",会员档案!$B196)</f>
        <v/>
      </c>
      <c r="C196" s="31">
        <f>IF(A196="","",会员档案!$D196)</f>
        <v/>
      </c>
      <c r="D196" s="31">
        <f>IF(A196="","",会员档案!$F196)</f>
        <v/>
      </c>
      <c r="E196" s="58">
        <f>IF(A196="","",会员档案!$S196)</f>
        <v/>
      </c>
      <c r="F196" s="31">
        <f>IF(A196="","",会员档案!$T196)</f>
        <v/>
      </c>
      <c r="G196" s="31">
        <f>IF(A196="","",会员档案!$O196)</f>
        <v/>
      </c>
      <c r="H196" s="31">
        <f>IF(A196="","",会员档案!$P196)</f>
        <v/>
      </c>
      <c r="I196" s="55" t="n"/>
      <c r="J196" s="11" t="n"/>
      <c r="K196" s="11" t="n"/>
    </row>
    <row r="197">
      <c r="A197" s="31">
        <f>IF(会员档案!$U197="沉睡客户",会员档案!$A197,"")</f>
        <v/>
      </c>
      <c r="B197" s="31">
        <f>IF(A197="","",会员档案!$B197)</f>
        <v/>
      </c>
      <c r="C197" s="31">
        <f>IF(A197="","",会员档案!$D197)</f>
        <v/>
      </c>
      <c r="D197" s="31">
        <f>IF(A197="","",会员档案!$F197)</f>
        <v/>
      </c>
      <c r="E197" s="58">
        <f>IF(A197="","",会员档案!$S197)</f>
        <v/>
      </c>
      <c r="F197" s="31">
        <f>IF(A197="","",会员档案!$T197)</f>
        <v/>
      </c>
      <c r="G197" s="31">
        <f>IF(A197="","",会员档案!$O197)</f>
        <v/>
      </c>
      <c r="H197" s="31">
        <f>IF(A197="","",会员档案!$P197)</f>
        <v/>
      </c>
      <c r="I197" s="55" t="n"/>
      <c r="J197" s="11" t="n"/>
      <c r="K197" s="11" t="n"/>
    </row>
    <row r="198">
      <c r="A198" s="31">
        <f>IF(会员档案!$U198="沉睡客户",会员档案!$A198,"")</f>
        <v/>
      </c>
      <c r="B198" s="31">
        <f>IF(A198="","",会员档案!$B198)</f>
        <v/>
      </c>
      <c r="C198" s="31">
        <f>IF(A198="","",会员档案!$D198)</f>
        <v/>
      </c>
      <c r="D198" s="31">
        <f>IF(A198="","",会员档案!$F198)</f>
        <v/>
      </c>
      <c r="E198" s="58">
        <f>IF(A198="","",会员档案!$S198)</f>
        <v/>
      </c>
      <c r="F198" s="31">
        <f>IF(A198="","",会员档案!$T198)</f>
        <v/>
      </c>
      <c r="G198" s="31">
        <f>IF(A198="","",会员档案!$O198)</f>
        <v/>
      </c>
      <c r="H198" s="31">
        <f>IF(A198="","",会员档案!$P198)</f>
        <v/>
      </c>
      <c r="I198" s="55" t="n"/>
      <c r="J198" s="11" t="n"/>
      <c r="K198" s="11" t="n"/>
    </row>
    <row r="199">
      <c r="A199" s="31">
        <f>IF(会员档案!$U199="沉睡客户",会员档案!$A199,"")</f>
        <v/>
      </c>
      <c r="B199" s="31">
        <f>IF(A199="","",会员档案!$B199)</f>
        <v/>
      </c>
      <c r="C199" s="31">
        <f>IF(A199="","",会员档案!$D199)</f>
        <v/>
      </c>
      <c r="D199" s="31">
        <f>IF(A199="","",会员档案!$F199)</f>
        <v/>
      </c>
      <c r="E199" s="58">
        <f>IF(A199="","",会员档案!$S199)</f>
        <v/>
      </c>
      <c r="F199" s="31">
        <f>IF(A199="","",会员档案!$T199)</f>
        <v/>
      </c>
      <c r="G199" s="31">
        <f>IF(A199="","",会员档案!$O199)</f>
        <v/>
      </c>
      <c r="H199" s="31">
        <f>IF(A199="","",会员档案!$P199)</f>
        <v/>
      </c>
      <c r="I199" s="55" t="n"/>
      <c r="J199" s="11" t="n"/>
      <c r="K199" s="11" t="n"/>
    </row>
    <row r="200">
      <c r="A200" s="31">
        <f>IF(会员档案!$U200="沉睡客户",会员档案!$A200,"")</f>
        <v/>
      </c>
      <c r="B200" s="31">
        <f>IF(A200="","",会员档案!$B200)</f>
        <v/>
      </c>
      <c r="C200" s="31">
        <f>IF(A200="","",会员档案!$D200)</f>
        <v/>
      </c>
      <c r="D200" s="31">
        <f>IF(A200="","",会员档案!$F200)</f>
        <v/>
      </c>
      <c r="E200" s="58">
        <f>IF(A200="","",会员档案!$S200)</f>
        <v/>
      </c>
      <c r="F200" s="31">
        <f>IF(A200="","",会员档案!$T200)</f>
        <v/>
      </c>
      <c r="G200" s="31">
        <f>IF(A200="","",会员档案!$O200)</f>
        <v/>
      </c>
      <c r="H200" s="31">
        <f>IF(A200="","",会员档案!$P200)</f>
        <v/>
      </c>
      <c r="I200" s="55" t="n"/>
      <c r="J200" s="11" t="n"/>
      <c r="K200" s="11" t="n"/>
    </row>
    <row r="201">
      <c r="A201" s="31">
        <f>IF(会员档案!$U201="沉睡客户",会员档案!$A201,"")</f>
        <v/>
      </c>
      <c r="B201" s="31">
        <f>IF(A201="","",会员档案!$B201)</f>
        <v/>
      </c>
      <c r="C201" s="31">
        <f>IF(A201="","",会员档案!$D201)</f>
        <v/>
      </c>
      <c r="D201" s="31">
        <f>IF(A201="","",会员档案!$F201)</f>
        <v/>
      </c>
      <c r="E201" s="58">
        <f>IF(A201="","",会员档案!$S201)</f>
        <v/>
      </c>
      <c r="F201" s="31">
        <f>IF(A201="","",会员档案!$T201)</f>
        <v/>
      </c>
      <c r="G201" s="31">
        <f>IF(A201="","",会员档案!$O201)</f>
        <v/>
      </c>
      <c r="H201" s="31">
        <f>IF(A201="","",会员档案!$P201)</f>
        <v/>
      </c>
      <c r="I201" s="55" t="n"/>
      <c r="J201" s="11" t="n"/>
      <c r="K201" s="11" t="n"/>
    </row>
    <row r="202">
      <c r="A202" s="31">
        <f>IF(会员档案!$U202="沉睡客户",会员档案!$A202,"")</f>
        <v/>
      </c>
      <c r="B202" s="31">
        <f>IF(A202="","",会员档案!$B202)</f>
        <v/>
      </c>
      <c r="C202" s="31">
        <f>IF(A202="","",会员档案!$D202)</f>
        <v/>
      </c>
      <c r="D202" s="31">
        <f>IF(A202="","",会员档案!$F202)</f>
        <v/>
      </c>
      <c r="E202" s="58">
        <f>IF(A202="","",会员档案!$S202)</f>
        <v/>
      </c>
      <c r="F202" s="31">
        <f>IF(A202="","",会员档案!$T202)</f>
        <v/>
      </c>
      <c r="G202" s="31">
        <f>IF(A202="","",会员档案!$O202)</f>
        <v/>
      </c>
      <c r="H202" s="31">
        <f>IF(A202="","",会员档案!$P202)</f>
        <v/>
      </c>
      <c r="I202" s="55" t="n"/>
      <c r="J202" s="11" t="n"/>
      <c r="K202" s="11" t="n"/>
    </row>
    <row r="203">
      <c r="A203" s="31">
        <f>IF(会员档案!$U203="沉睡客户",会员档案!$A203,"")</f>
        <v/>
      </c>
      <c r="B203" s="31">
        <f>IF(A203="","",会员档案!$B203)</f>
        <v/>
      </c>
      <c r="C203" s="31">
        <f>IF(A203="","",会员档案!$D203)</f>
        <v/>
      </c>
      <c r="D203" s="31">
        <f>IF(A203="","",会员档案!$F203)</f>
        <v/>
      </c>
      <c r="E203" s="58">
        <f>IF(A203="","",会员档案!$S203)</f>
        <v/>
      </c>
      <c r="F203" s="31">
        <f>IF(A203="","",会员档案!$T203)</f>
        <v/>
      </c>
      <c r="G203" s="31">
        <f>IF(A203="","",会员档案!$O203)</f>
        <v/>
      </c>
      <c r="H203" s="31">
        <f>IF(A203="","",会员档案!$P203)</f>
        <v/>
      </c>
      <c r="I203" s="55" t="n"/>
      <c r="J203" s="11" t="n"/>
      <c r="K203" s="11" t="n"/>
    </row>
    <row r="204">
      <c r="A204" s="31">
        <f>IF(会员档案!$U204="沉睡客户",会员档案!$A204,"")</f>
        <v/>
      </c>
      <c r="B204" s="31">
        <f>IF(A204="","",会员档案!$B204)</f>
        <v/>
      </c>
      <c r="C204" s="31">
        <f>IF(A204="","",会员档案!$D204)</f>
        <v/>
      </c>
      <c r="D204" s="31">
        <f>IF(A204="","",会员档案!$F204)</f>
        <v/>
      </c>
      <c r="E204" s="58">
        <f>IF(A204="","",会员档案!$S204)</f>
        <v/>
      </c>
      <c r="F204" s="31">
        <f>IF(A204="","",会员档案!$T204)</f>
        <v/>
      </c>
      <c r="G204" s="31">
        <f>IF(A204="","",会员档案!$O204)</f>
        <v/>
      </c>
      <c r="H204" s="31">
        <f>IF(A204="","",会员档案!$P204)</f>
        <v/>
      </c>
      <c r="I204" s="55" t="n"/>
      <c r="J204" s="11" t="n"/>
      <c r="K204" s="11" t="n"/>
    </row>
    <row r="205">
      <c r="A205" s="31">
        <f>IF(会员档案!$U205="沉睡客户",会员档案!$A205,"")</f>
        <v/>
      </c>
      <c r="B205" s="31">
        <f>IF(A205="","",会员档案!$B205)</f>
        <v/>
      </c>
      <c r="C205" s="31">
        <f>IF(A205="","",会员档案!$D205)</f>
        <v/>
      </c>
      <c r="D205" s="31">
        <f>IF(A205="","",会员档案!$F205)</f>
        <v/>
      </c>
      <c r="E205" s="58">
        <f>IF(A205="","",会员档案!$S205)</f>
        <v/>
      </c>
      <c r="F205" s="31">
        <f>IF(A205="","",会员档案!$T205)</f>
        <v/>
      </c>
      <c r="G205" s="31">
        <f>IF(A205="","",会员档案!$O205)</f>
        <v/>
      </c>
      <c r="H205" s="31">
        <f>IF(A205="","",会员档案!$P205)</f>
        <v/>
      </c>
      <c r="I205" s="55" t="n"/>
      <c r="J205" s="11" t="n"/>
      <c r="K205" s="11" t="n"/>
    </row>
    <row r="206">
      <c r="A206" s="31">
        <f>IF(会员档案!$U206="沉睡客户",会员档案!$A206,"")</f>
        <v/>
      </c>
      <c r="B206" s="31">
        <f>IF(A206="","",会员档案!$B206)</f>
        <v/>
      </c>
      <c r="C206" s="31">
        <f>IF(A206="","",会员档案!$D206)</f>
        <v/>
      </c>
      <c r="D206" s="31">
        <f>IF(A206="","",会员档案!$F206)</f>
        <v/>
      </c>
      <c r="E206" s="58">
        <f>IF(A206="","",会员档案!$S206)</f>
        <v/>
      </c>
      <c r="F206" s="31">
        <f>IF(A206="","",会员档案!$T206)</f>
        <v/>
      </c>
      <c r="G206" s="31">
        <f>IF(A206="","",会员档案!$O206)</f>
        <v/>
      </c>
      <c r="H206" s="31">
        <f>IF(A206="","",会员档案!$P206)</f>
        <v/>
      </c>
      <c r="I206" s="55" t="n"/>
      <c r="J206" s="11" t="n"/>
      <c r="K206" s="11" t="n"/>
    </row>
    <row r="207">
      <c r="A207" s="31">
        <f>IF(会员档案!$U207="沉睡客户",会员档案!$A207,"")</f>
        <v/>
      </c>
      <c r="B207" s="31">
        <f>IF(A207="","",会员档案!$B207)</f>
        <v/>
      </c>
      <c r="C207" s="31">
        <f>IF(A207="","",会员档案!$D207)</f>
        <v/>
      </c>
      <c r="D207" s="31">
        <f>IF(A207="","",会员档案!$F207)</f>
        <v/>
      </c>
      <c r="E207" s="58">
        <f>IF(A207="","",会员档案!$S207)</f>
        <v/>
      </c>
      <c r="F207" s="31">
        <f>IF(A207="","",会员档案!$T207)</f>
        <v/>
      </c>
      <c r="G207" s="31">
        <f>IF(A207="","",会员档案!$O207)</f>
        <v/>
      </c>
      <c r="H207" s="31">
        <f>IF(A207="","",会员档案!$P207)</f>
        <v/>
      </c>
      <c r="I207" s="55" t="n"/>
      <c r="J207" s="11" t="n"/>
      <c r="K207" s="11" t="n"/>
    </row>
    <row r="208">
      <c r="A208" s="31">
        <f>IF(会员档案!$U208="沉睡客户",会员档案!$A208,"")</f>
        <v/>
      </c>
      <c r="B208" s="31">
        <f>IF(A208="","",会员档案!$B208)</f>
        <v/>
      </c>
      <c r="C208" s="31">
        <f>IF(A208="","",会员档案!$D208)</f>
        <v/>
      </c>
      <c r="D208" s="31">
        <f>IF(A208="","",会员档案!$F208)</f>
        <v/>
      </c>
      <c r="E208" s="58">
        <f>IF(A208="","",会员档案!$S208)</f>
        <v/>
      </c>
      <c r="F208" s="31">
        <f>IF(A208="","",会员档案!$T208)</f>
        <v/>
      </c>
      <c r="G208" s="31">
        <f>IF(A208="","",会员档案!$O208)</f>
        <v/>
      </c>
      <c r="H208" s="31">
        <f>IF(A208="","",会员档案!$P208)</f>
        <v/>
      </c>
      <c r="I208" s="55" t="n"/>
      <c r="J208" s="11" t="n"/>
      <c r="K208" s="11" t="n"/>
    </row>
    <row r="209">
      <c r="A209" s="31">
        <f>IF(会员档案!$U209="沉睡客户",会员档案!$A209,"")</f>
        <v/>
      </c>
      <c r="B209" s="31">
        <f>IF(A209="","",会员档案!$B209)</f>
        <v/>
      </c>
      <c r="C209" s="31">
        <f>IF(A209="","",会员档案!$D209)</f>
        <v/>
      </c>
      <c r="D209" s="31">
        <f>IF(A209="","",会员档案!$F209)</f>
        <v/>
      </c>
      <c r="E209" s="58">
        <f>IF(A209="","",会员档案!$S209)</f>
        <v/>
      </c>
      <c r="F209" s="31">
        <f>IF(A209="","",会员档案!$T209)</f>
        <v/>
      </c>
      <c r="G209" s="31">
        <f>IF(A209="","",会员档案!$O209)</f>
        <v/>
      </c>
      <c r="H209" s="31">
        <f>IF(A209="","",会员档案!$P209)</f>
        <v/>
      </c>
      <c r="I209" s="55" t="n"/>
      <c r="J209" s="11" t="n"/>
      <c r="K209" s="11" t="n"/>
    </row>
    <row r="210">
      <c r="A210" s="31">
        <f>IF(会员档案!$U210="沉睡客户",会员档案!$A210,"")</f>
        <v/>
      </c>
      <c r="B210" s="31">
        <f>IF(A210="","",会员档案!$B210)</f>
        <v/>
      </c>
      <c r="C210" s="31">
        <f>IF(A210="","",会员档案!$D210)</f>
        <v/>
      </c>
      <c r="D210" s="31">
        <f>IF(A210="","",会员档案!$F210)</f>
        <v/>
      </c>
      <c r="E210" s="58">
        <f>IF(A210="","",会员档案!$S210)</f>
        <v/>
      </c>
      <c r="F210" s="31">
        <f>IF(A210="","",会员档案!$T210)</f>
        <v/>
      </c>
      <c r="G210" s="31">
        <f>IF(A210="","",会员档案!$O210)</f>
        <v/>
      </c>
      <c r="H210" s="31">
        <f>IF(A210="","",会员档案!$P210)</f>
        <v/>
      </c>
      <c r="I210" s="55" t="n"/>
      <c r="J210" s="11" t="n"/>
      <c r="K210" s="11" t="n"/>
    </row>
    <row r="211">
      <c r="A211" s="31">
        <f>IF(会员档案!$U211="沉睡客户",会员档案!$A211,"")</f>
        <v/>
      </c>
      <c r="B211" s="31">
        <f>IF(A211="","",会员档案!$B211)</f>
        <v/>
      </c>
      <c r="C211" s="31">
        <f>IF(A211="","",会员档案!$D211)</f>
        <v/>
      </c>
      <c r="D211" s="31">
        <f>IF(A211="","",会员档案!$F211)</f>
        <v/>
      </c>
      <c r="E211" s="58">
        <f>IF(A211="","",会员档案!$S211)</f>
        <v/>
      </c>
      <c r="F211" s="31">
        <f>IF(A211="","",会员档案!$T211)</f>
        <v/>
      </c>
      <c r="G211" s="31">
        <f>IF(A211="","",会员档案!$O211)</f>
        <v/>
      </c>
      <c r="H211" s="31">
        <f>IF(A211="","",会员档案!$P211)</f>
        <v/>
      </c>
      <c r="I211" s="55" t="n"/>
      <c r="J211" s="11" t="n"/>
      <c r="K211" s="11" t="n"/>
    </row>
    <row r="212">
      <c r="A212" s="31">
        <f>IF(会员档案!$U212="沉睡客户",会员档案!$A212,"")</f>
        <v/>
      </c>
      <c r="B212" s="31">
        <f>IF(A212="","",会员档案!$B212)</f>
        <v/>
      </c>
      <c r="C212" s="31">
        <f>IF(A212="","",会员档案!$D212)</f>
        <v/>
      </c>
      <c r="D212" s="31">
        <f>IF(A212="","",会员档案!$F212)</f>
        <v/>
      </c>
      <c r="E212" s="58">
        <f>IF(A212="","",会员档案!$S212)</f>
        <v/>
      </c>
      <c r="F212" s="31">
        <f>IF(A212="","",会员档案!$T212)</f>
        <v/>
      </c>
      <c r="G212" s="31">
        <f>IF(A212="","",会员档案!$O212)</f>
        <v/>
      </c>
      <c r="H212" s="31">
        <f>IF(A212="","",会员档案!$P212)</f>
        <v/>
      </c>
      <c r="I212" s="55" t="n"/>
      <c r="J212" s="11" t="n"/>
      <c r="K212" s="11" t="n"/>
    </row>
    <row r="213">
      <c r="A213" s="31">
        <f>IF(会员档案!$U213="沉睡客户",会员档案!$A213,"")</f>
        <v/>
      </c>
      <c r="B213" s="31">
        <f>IF(A213="","",会员档案!$B213)</f>
        <v/>
      </c>
      <c r="C213" s="31">
        <f>IF(A213="","",会员档案!$D213)</f>
        <v/>
      </c>
      <c r="D213" s="31">
        <f>IF(A213="","",会员档案!$F213)</f>
        <v/>
      </c>
      <c r="E213" s="58">
        <f>IF(A213="","",会员档案!$S213)</f>
        <v/>
      </c>
      <c r="F213" s="31">
        <f>IF(A213="","",会员档案!$T213)</f>
        <v/>
      </c>
      <c r="G213" s="31">
        <f>IF(A213="","",会员档案!$O213)</f>
        <v/>
      </c>
      <c r="H213" s="31">
        <f>IF(A213="","",会员档案!$P213)</f>
        <v/>
      </c>
      <c r="I213" s="55" t="n"/>
      <c r="J213" s="11" t="n"/>
      <c r="K213" s="11" t="n"/>
    </row>
    <row r="214">
      <c r="A214" s="31">
        <f>IF(会员档案!$U214="沉睡客户",会员档案!$A214,"")</f>
        <v/>
      </c>
      <c r="B214" s="31">
        <f>IF(A214="","",会员档案!$B214)</f>
        <v/>
      </c>
      <c r="C214" s="31">
        <f>IF(A214="","",会员档案!$D214)</f>
        <v/>
      </c>
      <c r="D214" s="31">
        <f>IF(A214="","",会员档案!$F214)</f>
        <v/>
      </c>
      <c r="E214" s="58">
        <f>IF(A214="","",会员档案!$S214)</f>
        <v/>
      </c>
      <c r="F214" s="31">
        <f>IF(A214="","",会员档案!$T214)</f>
        <v/>
      </c>
      <c r="G214" s="31">
        <f>IF(A214="","",会员档案!$O214)</f>
        <v/>
      </c>
      <c r="H214" s="31">
        <f>IF(A214="","",会员档案!$P214)</f>
        <v/>
      </c>
      <c r="I214" s="55" t="n"/>
      <c r="J214" s="11" t="n"/>
      <c r="K214" s="11" t="n"/>
    </row>
    <row r="215">
      <c r="A215" s="31">
        <f>IF(会员档案!$U215="沉睡客户",会员档案!$A215,"")</f>
        <v/>
      </c>
      <c r="B215" s="31">
        <f>IF(A215="","",会员档案!$B215)</f>
        <v/>
      </c>
      <c r="C215" s="31">
        <f>IF(A215="","",会员档案!$D215)</f>
        <v/>
      </c>
      <c r="D215" s="31">
        <f>IF(A215="","",会员档案!$F215)</f>
        <v/>
      </c>
      <c r="E215" s="58">
        <f>IF(A215="","",会员档案!$S215)</f>
        <v/>
      </c>
      <c r="F215" s="31">
        <f>IF(A215="","",会员档案!$T215)</f>
        <v/>
      </c>
      <c r="G215" s="31">
        <f>IF(A215="","",会员档案!$O215)</f>
        <v/>
      </c>
      <c r="H215" s="31">
        <f>IF(A215="","",会员档案!$P215)</f>
        <v/>
      </c>
      <c r="I215" s="55" t="n"/>
      <c r="J215" s="11" t="n"/>
      <c r="K215" s="11" t="n"/>
    </row>
    <row r="216">
      <c r="A216" s="31">
        <f>IF(会员档案!$U216="沉睡客户",会员档案!$A216,"")</f>
        <v/>
      </c>
      <c r="B216" s="31">
        <f>IF(A216="","",会员档案!$B216)</f>
        <v/>
      </c>
      <c r="C216" s="31">
        <f>IF(A216="","",会员档案!$D216)</f>
        <v/>
      </c>
      <c r="D216" s="31">
        <f>IF(A216="","",会员档案!$F216)</f>
        <v/>
      </c>
      <c r="E216" s="58">
        <f>IF(A216="","",会员档案!$S216)</f>
        <v/>
      </c>
      <c r="F216" s="31">
        <f>IF(A216="","",会员档案!$T216)</f>
        <v/>
      </c>
      <c r="G216" s="31">
        <f>IF(A216="","",会员档案!$O216)</f>
        <v/>
      </c>
      <c r="H216" s="31">
        <f>IF(A216="","",会员档案!$P216)</f>
        <v/>
      </c>
      <c r="I216" s="55" t="n"/>
      <c r="J216" s="11" t="n"/>
      <c r="K216" s="11" t="n"/>
    </row>
    <row r="217">
      <c r="A217" s="31">
        <f>IF(会员档案!$U217="沉睡客户",会员档案!$A217,"")</f>
        <v/>
      </c>
      <c r="B217" s="31">
        <f>IF(A217="","",会员档案!$B217)</f>
        <v/>
      </c>
      <c r="C217" s="31">
        <f>IF(A217="","",会员档案!$D217)</f>
        <v/>
      </c>
      <c r="D217" s="31">
        <f>IF(A217="","",会员档案!$F217)</f>
        <v/>
      </c>
      <c r="E217" s="58">
        <f>IF(A217="","",会员档案!$S217)</f>
        <v/>
      </c>
      <c r="F217" s="31">
        <f>IF(A217="","",会员档案!$T217)</f>
        <v/>
      </c>
      <c r="G217" s="31">
        <f>IF(A217="","",会员档案!$O217)</f>
        <v/>
      </c>
      <c r="H217" s="31">
        <f>IF(A217="","",会员档案!$P217)</f>
        <v/>
      </c>
      <c r="I217" s="55" t="n"/>
      <c r="J217" s="11" t="n"/>
      <c r="K217" s="11" t="n"/>
    </row>
    <row r="218">
      <c r="A218" s="31">
        <f>IF(会员档案!$U218="沉睡客户",会员档案!$A218,"")</f>
        <v/>
      </c>
      <c r="B218" s="31">
        <f>IF(A218="","",会员档案!$B218)</f>
        <v/>
      </c>
      <c r="C218" s="31">
        <f>IF(A218="","",会员档案!$D218)</f>
        <v/>
      </c>
      <c r="D218" s="31">
        <f>IF(A218="","",会员档案!$F218)</f>
        <v/>
      </c>
      <c r="E218" s="58">
        <f>IF(A218="","",会员档案!$S218)</f>
        <v/>
      </c>
      <c r="F218" s="31">
        <f>IF(A218="","",会员档案!$T218)</f>
        <v/>
      </c>
      <c r="G218" s="31">
        <f>IF(A218="","",会员档案!$O218)</f>
        <v/>
      </c>
      <c r="H218" s="31">
        <f>IF(A218="","",会员档案!$P218)</f>
        <v/>
      </c>
      <c r="I218" s="55" t="n"/>
      <c r="J218" s="11" t="n"/>
      <c r="K218" s="11" t="n"/>
    </row>
    <row r="219">
      <c r="A219" s="31">
        <f>IF(会员档案!$U219="沉睡客户",会员档案!$A219,"")</f>
        <v/>
      </c>
      <c r="B219" s="31">
        <f>IF(A219="","",会员档案!$B219)</f>
        <v/>
      </c>
      <c r="C219" s="31">
        <f>IF(A219="","",会员档案!$D219)</f>
        <v/>
      </c>
      <c r="D219" s="31">
        <f>IF(A219="","",会员档案!$F219)</f>
        <v/>
      </c>
      <c r="E219" s="58">
        <f>IF(A219="","",会员档案!$S219)</f>
        <v/>
      </c>
      <c r="F219" s="31">
        <f>IF(A219="","",会员档案!$T219)</f>
        <v/>
      </c>
      <c r="G219" s="31">
        <f>IF(A219="","",会员档案!$O219)</f>
        <v/>
      </c>
      <c r="H219" s="31">
        <f>IF(A219="","",会员档案!$P219)</f>
        <v/>
      </c>
      <c r="I219" s="55" t="n"/>
      <c r="J219" s="11" t="n"/>
      <c r="K219" s="11" t="n"/>
    </row>
    <row r="220">
      <c r="A220" s="31">
        <f>IF(会员档案!$U220="沉睡客户",会员档案!$A220,"")</f>
        <v/>
      </c>
      <c r="B220" s="31">
        <f>IF(A220="","",会员档案!$B220)</f>
        <v/>
      </c>
      <c r="C220" s="31">
        <f>IF(A220="","",会员档案!$D220)</f>
        <v/>
      </c>
      <c r="D220" s="31">
        <f>IF(A220="","",会员档案!$F220)</f>
        <v/>
      </c>
      <c r="E220" s="58">
        <f>IF(A220="","",会员档案!$S220)</f>
        <v/>
      </c>
      <c r="F220" s="31">
        <f>IF(A220="","",会员档案!$T220)</f>
        <v/>
      </c>
      <c r="G220" s="31">
        <f>IF(A220="","",会员档案!$O220)</f>
        <v/>
      </c>
      <c r="H220" s="31">
        <f>IF(A220="","",会员档案!$P220)</f>
        <v/>
      </c>
      <c r="I220" s="55" t="n"/>
      <c r="J220" s="11" t="n"/>
      <c r="K220" s="11" t="n"/>
    </row>
    <row r="221">
      <c r="A221" s="31">
        <f>IF(会员档案!$U221="沉睡客户",会员档案!$A221,"")</f>
        <v/>
      </c>
      <c r="B221" s="31">
        <f>IF(A221="","",会员档案!$B221)</f>
        <v/>
      </c>
      <c r="C221" s="31">
        <f>IF(A221="","",会员档案!$D221)</f>
        <v/>
      </c>
      <c r="D221" s="31">
        <f>IF(A221="","",会员档案!$F221)</f>
        <v/>
      </c>
      <c r="E221" s="58">
        <f>IF(A221="","",会员档案!$S221)</f>
        <v/>
      </c>
      <c r="F221" s="31">
        <f>IF(A221="","",会员档案!$T221)</f>
        <v/>
      </c>
      <c r="G221" s="31">
        <f>IF(A221="","",会员档案!$O221)</f>
        <v/>
      </c>
      <c r="H221" s="31">
        <f>IF(A221="","",会员档案!$P221)</f>
        <v/>
      </c>
      <c r="I221" s="55" t="n"/>
      <c r="J221" s="11" t="n"/>
      <c r="K221" s="11" t="n"/>
    </row>
    <row r="222">
      <c r="A222" s="31">
        <f>IF(会员档案!$U222="沉睡客户",会员档案!$A222,"")</f>
        <v/>
      </c>
      <c r="B222" s="31">
        <f>IF(A222="","",会员档案!$B222)</f>
        <v/>
      </c>
      <c r="C222" s="31">
        <f>IF(A222="","",会员档案!$D222)</f>
        <v/>
      </c>
      <c r="D222" s="31">
        <f>IF(A222="","",会员档案!$F222)</f>
        <v/>
      </c>
      <c r="E222" s="58">
        <f>IF(A222="","",会员档案!$S222)</f>
        <v/>
      </c>
      <c r="F222" s="31">
        <f>IF(A222="","",会员档案!$T222)</f>
        <v/>
      </c>
      <c r="G222" s="31">
        <f>IF(A222="","",会员档案!$O222)</f>
        <v/>
      </c>
      <c r="H222" s="31">
        <f>IF(A222="","",会员档案!$P222)</f>
        <v/>
      </c>
      <c r="I222" s="55" t="n"/>
      <c r="J222" s="11" t="n"/>
      <c r="K222" s="11" t="n"/>
    </row>
    <row r="223">
      <c r="A223" s="31">
        <f>IF(会员档案!$U223="沉睡客户",会员档案!$A223,"")</f>
        <v/>
      </c>
      <c r="B223" s="31">
        <f>IF(A223="","",会员档案!$B223)</f>
        <v/>
      </c>
      <c r="C223" s="31">
        <f>IF(A223="","",会员档案!$D223)</f>
        <v/>
      </c>
      <c r="D223" s="31">
        <f>IF(A223="","",会员档案!$F223)</f>
        <v/>
      </c>
      <c r="E223" s="58">
        <f>IF(A223="","",会员档案!$S223)</f>
        <v/>
      </c>
      <c r="F223" s="31">
        <f>IF(A223="","",会员档案!$T223)</f>
        <v/>
      </c>
      <c r="G223" s="31">
        <f>IF(A223="","",会员档案!$O223)</f>
        <v/>
      </c>
      <c r="H223" s="31">
        <f>IF(A223="","",会员档案!$P223)</f>
        <v/>
      </c>
      <c r="I223" s="55" t="n"/>
      <c r="J223" s="11" t="n"/>
      <c r="K223" s="11" t="n"/>
    </row>
    <row r="224">
      <c r="A224" s="31">
        <f>IF(会员档案!$U224="沉睡客户",会员档案!$A224,"")</f>
        <v/>
      </c>
      <c r="B224" s="31">
        <f>IF(A224="","",会员档案!$B224)</f>
        <v/>
      </c>
      <c r="C224" s="31">
        <f>IF(A224="","",会员档案!$D224)</f>
        <v/>
      </c>
      <c r="D224" s="31">
        <f>IF(A224="","",会员档案!$F224)</f>
        <v/>
      </c>
      <c r="E224" s="58">
        <f>IF(A224="","",会员档案!$S224)</f>
        <v/>
      </c>
      <c r="F224" s="31">
        <f>IF(A224="","",会员档案!$T224)</f>
        <v/>
      </c>
      <c r="G224" s="31">
        <f>IF(A224="","",会员档案!$O224)</f>
        <v/>
      </c>
      <c r="H224" s="31">
        <f>IF(A224="","",会员档案!$P224)</f>
        <v/>
      </c>
      <c r="I224" s="55" t="n"/>
      <c r="J224" s="11" t="n"/>
      <c r="K224" s="11" t="n"/>
    </row>
    <row r="225">
      <c r="A225" s="31">
        <f>IF(会员档案!$U225="沉睡客户",会员档案!$A225,"")</f>
        <v/>
      </c>
      <c r="B225" s="31">
        <f>IF(A225="","",会员档案!$B225)</f>
        <v/>
      </c>
      <c r="C225" s="31">
        <f>IF(A225="","",会员档案!$D225)</f>
        <v/>
      </c>
      <c r="D225" s="31">
        <f>IF(A225="","",会员档案!$F225)</f>
        <v/>
      </c>
      <c r="E225" s="58">
        <f>IF(A225="","",会员档案!$S225)</f>
        <v/>
      </c>
      <c r="F225" s="31">
        <f>IF(A225="","",会员档案!$T225)</f>
        <v/>
      </c>
      <c r="G225" s="31">
        <f>IF(A225="","",会员档案!$O225)</f>
        <v/>
      </c>
      <c r="H225" s="31">
        <f>IF(A225="","",会员档案!$P225)</f>
        <v/>
      </c>
      <c r="I225" s="55" t="n"/>
      <c r="J225" s="11" t="n"/>
      <c r="K225" s="11" t="n"/>
    </row>
    <row r="226">
      <c r="A226" s="31">
        <f>IF(会员档案!$U226="沉睡客户",会员档案!$A226,"")</f>
        <v/>
      </c>
      <c r="B226" s="31">
        <f>IF(A226="","",会员档案!$B226)</f>
        <v/>
      </c>
      <c r="C226" s="31">
        <f>IF(A226="","",会员档案!$D226)</f>
        <v/>
      </c>
      <c r="D226" s="31">
        <f>IF(A226="","",会员档案!$F226)</f>
        <v/>
      </c>
      <c r="E226" s="58">
        <f>IF(A226="","",会员档案!$S226)</f>
        <v/>
      </c>
      <c r="F226" s="31">
        <f>IF(A226="","",会员档案!$T226)</f>
        <v/>
      </c>
      <c r="G226" s="31">
        <f>IF(A226="","",会员档案!$O226)</f>
        <v/>
      </c>
      <c r="H226" s="31">
        <f>IF(A226="","",会员档案!$P226)</f>
        <v/>
      </c>
      <c r="I226" s="55" t="n"/>
      <c r="J226" s="11" t="n"/>
      <c r="K226" s="11" t="n"/>
    </row>
    <row r="227">
      <c r="A227" s="31">
        <f>IF(会员档案!$U227="沉睡客户",会员档案!$A227,"")</f>
        <v/>
      </c>
      <c r="B227" s="31">
        <f>IF(A227="","",会员档案!$B227)</f>
        <v/>
      </c>
      <c r="C227" s="31">
        <f>IF(A227="","",会员档案!$D227)</f>
        <v/>
      </c>
      <c r="D227" s="31">
        <f>IF(A227="","",会员档案!$F227)</f>
        <v/>
      </c>
      <c r="E227" s="58">
        <f>IF(A227="","",会员档案!$S227)</f>
        <v/>
      </c>
      <c r="F227" s="31">
        <f>IF(A227="","",会员档案!$T227)</f>
        <v/>
      </c>
      <c r="G227" s="31">
        <f>IF(A227="","",会员档案!$O227)</f>
        <v/>
      </c>
      <c r="H227" s="31">
        <f>IF(A227="","",会员档案!$P227)</f>
        <v/>
      </c>
      <c r="I227" s="55" t="n"/>
      <c r="J227" s="11" t="n"/>
      <c r="K227" s="11" t="n"/>
    </row>
    <row r="228">
      <c r="A228" s="31">
        <f>IF(会员档案!$U228="沉睡客户",会员档案!$A228,"")</f>
        <v/>
      </c>
      <c r="B228" s="31">
        <f>IF(A228="","",会员档案!$B228)</f>
        <v/>
      </c>
      <c r="C228" s="31">
        <f>IF(A228="","",会员档案!$D228)</f>
        <v/>
      </c>
      <c r="D228" s="31">
        <f>IF(A228="","",会员档案!$F228)</f>
        <v/>
      </c>
      <c r="E228" s="58">
        <f>IF(A228="","",会员档案!$S228)</f>
        <v/>
      </c>
      <c r="F228" s="31">
        <f>IF(A228="","",会员档案!$T228)</f>
        <v/>
      </c>
      <c r="G228" s="31">
        <f>IF(A228="","",会员档案!$O228)</f>
        <v/>
      </c>
      <c r="H228" s="31">
        <f>IF(A228="","",会员档案!$P228)</f>
        <v/>
      </c>
      <c r="I228" s="55" t="n"/>
      <c r="J228" s="11" t="n"/>
      <c r="K228" s="11" t="n"/>
    </row>
    <row r="229">
      <c r="A229" s="31">
        <f>IF(会员档案!$U229="沉睡客户",会员档案!$A229,"")</f>
        <v/>
      </c>
      <c r="B229" s="31">
        <f>IF(A229="","",会员档案!$B229)</f>
        <v/>
      </c>
      <c r="C229" s="31">
        <f>IF(A229="","",会员档案!$D229)</f>
        <v/>
      </c>
      <c r="D229" s="31">
        <f>IF(A229="","",会员档案!$F229)</f>
        <v/>
      </c>
      <c r="E229" s="58">
        <f>IF(A229="","",会员档案!$S229)</f>
        <v/>
      </c>
      <c r="F229" s="31">
        <f>IF(A229="","",会员档案!$T229)</f>
        <v/>
      </c>
      <c r="G229" s="31">
        <f>IF(A229="","",会员档案!$O229)</f>
        <v/>
      </c>
      <c r="H229" s="31">
        <f>IF(A229="","",会员档案!$P229)</f>
        <v/>
      </c>
      <c r="I229" s="55" t="n"/>
      <c r="J229" s="11" t="n"/>
      <c r="K229" s="11" t="n"/>
    </row>
    <row r="230">
      <c r="A230" s="31">
        <f>IF(会员档案!$U230="沉睡客户",会员档案!$A230,"")</f>
        <v/>
      </c>
      <c r="B230" s="31">
        <f>IF(A230="","",会员档案!$B230)</f>
        <v/>
      </c>
      <c r="C230" s="31">
        <f>IF(A230="","",会员档案!$D230)</f>
        <v/>
      </c>
      <c r="D230" s="31">
        <f>IF(A230="","",会员档案!$F230)</f>
        <v/>
      </c>
      <c r="E230" s="58">
        <f>IF(A230="","",会员档案!$S230)</f>
        <v/>
      </c>
      <c r="F230" s="31">
        <f>IF(A230="","",会员档案!$T230)</f>
        <v/>
      </c>
      <c r="G230" s="31">
        <f>IF(A230="","",会员档案!$O230)</f>
        <v/>
      </c>
      <c r="H230" s="31">
        <f>IF(A230="","",会员档案!$P230)</f>
        <v/>
      </c>
      <c r="I230" s="55" t="n"/>
      <c r="J230" s="11" t="n"/>
      <c r="K230" s="11" t="n"/>
    </row>
    <row r="231">
      <c r="A231" s="31">
        <f>IF(会员档案!$U231="沉睡客户",会员档案!$A231,"")</f>
        <v/>
      </c>
      <c r="B231" s="31">
        <f>IF(A231="","",会员档案!$B231)</f>
        <v/>
      </c>
      <c r="C231" s="31">
        <f>IF(A231="","",会员档案!$D231)</f>
        <v/>
      </c>
      <c r="D231" s="31">
        <f>IF(A231="","",会员档案!$F231)</f>
        <v/>
      </c>
      <c r="E231" s="58">
        <f>IF(A231="","",会员档案!$S231)</f>
        <v/>
      </c>
      <c r="F231" s="31">
        <f>IF(A231="","",会员档案!$T231)</f>
        <v/>
      </c>
      <c r="G231" s="31">
        <f>IF(A231="","",会员档案!$O231)</f>
        <v/>
      </c>
      <c r="H231" s="31">
        <f>IF(A231="","",会员档案!$P231)</f>
        <v/>
      </c>
      <c r="I231" s="55" t="n"/>
      <c r="J231" s="11" t="n"/>
      <c r="K231" s="11" t="n"/>
    </row>
    <row r="232">
      <c r="A232" s="31">
        <f>IF(会员档案!$U232="沉睡客户",会员档案!$A232,"")</f>
        <v/>
      </c>
      <c r="B232" s="31">
        <f>IF(A232="","",会员档案!$B232)</f>
        <v/>
      </c>
      <c r="C232" s="31">
        <f>IF(A232="","",会员档案!$D232)</f>
        <v/>
      </c>
      <c r="D232" s="31">
        <f>IF(A232="","",会员档案!$F232)</f>
        <v/>
      </c>
      <c r="E232" s="58">
        <f>IF(A232="","",会员档案!$S232)</f>
        <v/>
      </c>
      <c r="F232" s="31">
        <f>IF(A232="","",会员档案!$T232)</f>
        <v/>
      </c>
      <c r="G232" s="31">
        <f>IF(A232="","",会员档案!$O232)</f>
        <v/>
      </c>
      <c r="H232" s="31">
        <f>IF(A232="","",会员档案!$P232)</f>
        <v/>
      </c>
      <c r="I232" s="55" t="n"/>
      <c r="J232" s="11" t="n"/>
      <c r="K232" s="11" t="n"/>
    </row>
    <row r="233">
      <c r="A233" s="31">
        <f>IF(会员档案!$U233="沉睡客户",会员档案!$A233,"")</f>
        <v/>
      </c>
      <c r="B233" s="31">
        <f>IF(A233="","",会员档案!$B233)</f>
        <v/>
      </c>
      <c r="C233" s="31">
        <f>IF(A233="","",会员档案!$D233)</f>
        <v/>
      </c>
      <c r="D233" s="31">
        <f>IF(A233="","",会员档案!$F233)</f>
        <v/>
      </c>
      <c r="E233" s="58">
        <f>IF(A233="","",会员档案!$S233)</f>
        <v/>
      </c>
      <c r="F233" s="31">
        <f>IF(A233="","",会员档案!$T233)</f>
        <v/>
      </c>
      <c r="G233" s="31">
        <f>IF(A233="","",会员档案!$O233)</f>
        <v/>
      </c>
      <c r="H233" s="31">
        <f>IF(A233="","",会员档案!$P233)</f>
        <v/>
      </c>
      <c r="I233" s="55" t="n"/>
      <c r="J233" s="11" t="n"/>
      <c r="K233" s="11" t="n"/>
    </row>
    <row r="234">
      <c r="A234" s="31">
        <f>IF(会员档案!$U234="沉睡客户",会员档案!$A234,"")</f>
        <v/>
      </c>
      <c r="B234" s="31">
        <f>IF(A234="","",会员档案!$B234)</f>
        <v/>
      </c>
      <c r="C234" s="31">
        <f>IF(A234="","",会员档案!$D234)</f>
        <v/>
      </c>
      <c r="D234" s="31">
        <f>IF(A234="","",会员档案!$F234)</f>
        <v/>
      </c>
      <c r="E234" s="58">
        <f>IF(A234="","",会员档案!$S234)</f>
        <v/>
      </c>
      <c r="F234" s="31">
        <f>IF(A234="","",会员档案!$T234)</f>
        <v/>
      </c>
      <c r="G234" s="31">
        <f>IF(A234="","",会员档案!$O234)</f>
        <v/>
      </c>
      <c r="H234" s="31">
        <f>IF(A234="","",会员档案!$P234)</f>
        <v/>
      </c>
      <c r="I234" s="55" t="n"/>
      <c r="J234" s="11" t="n"/>
      <c r="K234" s="11" t="n"/>
    </row>
    <row r="235">
      <c r="A235" s="31">
        <f>IF(会员档案!$U235="沉睡客户",会员档案!$A235,"")</f>
        <v/>
      </c>
      <c r="B235" s="31">
        <f>IF(A235="","",会员档案!$B235)</f>
        <v/>
      </c>
      <c r="C235" s="31">
        <f>IF(A235="","",会员档案!$D235)</f>
        <v/>
      </c>
      <c r="D235" s="31">
        <f>IF(A235="","",会员档案!$F235)</f>
        <v/>
      </c>
      <c r="E235" s="58">
        <f>IF(A235="","",会员档案!$S235)</f>
        <v/>
      </c>
      <c r="F235" s="31">
        <f>IF(A235="","",会员档案!$T235)</f>
        <v/>
      </c>
      <c r="G235" s="31">
        <f>IF(A235="","",会员档案!$O235)</f>
        <v/>
      </c>
      <c r="H235" s="31">
        <f>IF(A235="","",会员档案!$P235)</f>
        <v/>
      </c>
      <c r="I235" s="55" t="n"/>
      <c r="J235" s="11" t="n"/>
      <c r="K235" s="11" t="n"/>
    </row>
    <row r="236">
      <c r="A236" s="31">
        <f>IF(会员档案!$U236="沉睡客户",会员档案!$A236,"")</f>
        <v/>
      </c>
      <c r="B236" s="31">
        <f>IF(A236="","",会员档案!$B236)</f>
        <v/>
      </c>
      <c r="C236" s="31">
        <f>IF(A236="","",会员档案!$D236)</f>
        <v/>
      </c>
      <c r="D236" s="31">
        <f>IF(A236="","",会员档案!$F236)</f>
        <v/>
      </c>
      <c r="E236" s="58">
        <f>IF(A236="","",会员档案!$S236)</f>
        <v/>
      </c>
      <c r="F236" s="31">
        <f>IF(A236="","",会员档案!$T236)</f>
        <v/>
      </c>
      <c r="G236" s="31">
        <f>IF(A236="","",会员档案!$O236)</f>
        <v/>
      </c>
      <c r="H236" s="31">
        <f>IF(A236="","",会员档案!$P236)</f>
        <v/>
      </c>
      <c r="I236" s="55" t="n"/>
      <c r="J236" s="11" t="n"/>
      <c r="K236" s="11" t="n"/>
    </row>
    <row r="237">
      <c r="A237" s="31">
        <f>IF(会员档案!$U237="沉睡客户",会员档案!$A237,"")</f>
        <v/>
      </c>
      <c r="B237" s="31">
        <f>IF(A237="","",会员档案!$B237)</f>
        <v/>
      </c>
      <c r="C237" s="31">
        <f>IF(A237="","",会员档案!$D237)</f>
        <v/>
      </c>
      <c r="D237" s="31">
        <f>IF(A237="","",会员档案!$F237)</f>
        <v/>
      </c>
      <c r="E237" s="58">
        <f>IF(A237="","",会员档案!$S237)</f>
        <v/>
      </c>
      <c r="F237" s="31">
        <f>IF(A237="","",会员档案!$T237)</f>
        <v/>
      </c>
      <c r="G237" s="31">
        <f>IF(A237="","",会员档案!$O237)</f>
        <v/>
      </c>
      <c r="H237" s="31">
        <f>IF(A237="","",会员档案!$P237)</f>
        <v/>
      </c>
      <c r="I237" s="55" t="n"/>
      <c r="J237" s="11" t="n"/>
      <c r="K237" s="11" t="n"/>
    </row>
    <row r="238">
      <c r="A238" s="31">
        <f>IF(会员档案!$U238="沉睡客户",会员档案!$A238,"")</f>
        <v/>
      </c>
      <c r="B238" s="31">
        <f>IF(A238="","",会员档案!$B238)</f>
        <v/>
      </c>
      <c r="C238" s="31">
        <f>IF(A238="","",会员档案!$D238)</f>
        <v/>
      </c>
      <c r="D238" s="31">
        <f>IF(A238="","",会员档案!$F238)</f>
        <v/>
      </c>
      <c r="E238" s="58">
        <f>IF(A238="","",会员档案!$S238)</f>
        <v/>
      </c>
      <c r="F238" s="31">
        <f>IF(A238="","",会员档案!$T238)</f>
        <v/>
      </c>
      <c r="G238" s="31">
        <f>IF(A238="","",会员档案!$O238)</f>
        <v/>
      </c>
      <c r="H238" s="31">
        <f>IF(A238="","",会员档案!$P238)</f>
        <v/>
      </c>
      <c r="I238" s="55" t="n"/>
      <c r="J238" s="11" t="n"/>
      <c r="K238" s="11" t="n"/>
    </row>
    <row r="239">
      <c r="A239" s="31">
        <f>IF(会员档案!$U239="沉睡客户",会员档案!$A239,"")</f>
        <v/>
      </c>
      <c r="B239" s="31">
        <f>IF(A239="","",会员档案!$B239)</f>
        <v/>
      </c>
      <c r="C239" s="31">
        <f>IF(A239="","",会员档案!$D239)</f>
        <v/>
      </c>
      <c r="D239" s="31">
        <f>IF(A239="","",会员档案!$F239)</f>
        <v/>
      </c>
      <c r="E239" s="58">
        <f>IF(A239="","",会员档案!$S239)</f>
        <v/>
      </c>
      <c r="F239" s="31">
        <f>IF(A239="","",会员档案!$T239)</f>
        <v/>
      </c>
      <c r="G239" s="31">
        <f>IF(A239="","",会员档案!$O239)</f>
        <v/>
      </c>
      <c r="H239" s="31">
        <f>IF(A239="","",会员档案!$P239)</f>
        <v/>
      </c>
      <c r="I239" s="55" t="n"/>
      <c r="J239" s="11" t="n"/>
      <c r="K239" s="11" t="n"/>
    </row>
    <row r="240">
      <c r="A240" s="31">
        <f>IF(会员档案!$U240="沉睡客户",会员档案!$A240,"")</f>
        <v/>
      </c>
      <c r="B240" s="31">
        <f>IF(A240="","",会员档案!$B240)</f>
        <v/>
      </c>
      <c r="C240" s="31">
        <f>IF(A240="","",会员档案!$D240)</f>
        <v/>
      </c>
      <c r="D240" s="31">
        <f>IF(A240="","",会员档案!$F240)</f>
        <v/>
      </c>
      <c r="E240" s="58">
        <f>IF(A240="","",会员档案!$S240)</f>
        <v/>
      </c>
      <c r="F240" s="31">
        <f>IF(A240="","",会员档案!$T240)</f>
        <v/>
      </c>
      <c r="G240" s="31">
        <f>IF(A240="","",会员档案!$O240)</f>
        <v/>
      </c>
      <c r="H240" s="31">
        <f>IF(A240="","",会员档案!$P240)</f>
        <v/>
      </c>
      <c r="I240" s="55" t="n"/>
      <c r="J240" s="11" t="n"/>
      <c r="K240" s="11" t="n"/>
    </row>
    <row r="241">
      <c r="A241" s="31">
        <f>IF(会员档案!$U241="沉睡客户",会员档案!$A241,"")</f>
        <v/>
      </c>
      <c r="B241" s="31">
        <f>IF(A241="","",会员档案!$B241)</f>
        <v/>
      </c>
      <c r="C241" s="31">
        <f>IF(A241="","",会员档案!$D241)</f>
        <v/>
      </c>
      <c r="D241" s="31">
        <f>IF(A241="","",会员档案!$F241)</f>
        <v/>
      </c>
      <c r="E241" s="58">
        <f>IF(A241="","",会员档案!$S241)</f>
        <v/>
      </c>
      <c r="F241" s="31">
        <f>IF(A241="","",会员档案!$T241)</f>
        <v/>
      </c>
      <c r="G241" s="31">
        <f>IF(A241="","",会员档案!$O241)</f>
        <v/>
      </c>
      <c r="H241" s="31">
        <f>IF(A241="","",会员档案!$P241)</f>
        <v/>
      </c>
      <c r="I241" s="55" t="n"/>
      <c r="J241" s="11" t="n"/>
      <c r="K241" s="11" t="n"/>
    </row>
    <row r="242">
      <c r="A242" s="31">
        <f>IF(会员档案!$U242="沉睡客户",会员档案!$A242,"")</f>
        <v/>
      </c>
      <c r="B242" s="31">
        <f>IF(A242="","",会员档案!$B242)</f>
        <v/>
      </c>
      <c r="C242" s="31">
        <f>IF(A242="","",会员档案!$D242)</f>
        <v/>
      </c>
      <c r="D242" s="31">
        <f>IF(A242="","",会员档案!$F242)</f>
        <v/>
      </c>
      <c r="E242" s="58">
        <f>IF(A242="","",会员档案!$S242)</f>
        <v/>
      </c>
      <c r="F242" s="31">
        <f>IF(A242="","",会员档案!$T242)</f>
        <v/>
      </c>
      <c r="G242" s="31">
        <f>IF(A242="","",会员档案!$O242)</f>
        <v/>
      </c>
      <c r="H242" s="31">
        <f>IF(A242="","",会员档案!$P242)</f>
        <v/>
      </c>
      <c r="I242" s="55" t="n"/>
      <c r="J242" s="11" t="n"/>
      <c r="K242" s="11" t="n"/>
    </row>
    <row r="243">
      <c r="A243" s="31">
        <f>IF(会员档案!$U243="沉睡客户",会员档案!$A243,"")</f>
        <v/>
      </c>
      <c r="B243" s="31">
        <f>IF(A243="","",会员档案!$B243)</f>
        <v/>
      </c>
      <c r="C243" s="31">
        <f>IF(A243="","",会员档案!$D243)</f>
        <v/>
      </c>
      <c r="D243" s="31">
        <f>IF(A243="","",会员档案!$F243)</f>
        <v/>
      </c>
      <c r="E243" s="58">
        <f>IF(A243="","",会员档案!$S243)</f>
        <v/>
      </c>
      <c r="F243" s="31">
        <f>IF(A243="","",会员档案!$T243)</f>
        <v/>
      </c>
      <c r="G243" s="31">
        <f>IF(A243="","",会员档案!$O243)</f>
        <v/>
      </c>
      <c r="H243" s="31">
        <f>IF(A243="","",会员档案!$P243)</f>
        <v/>
      </c>
      <c r="I243" s="55" t="n"/>
      <c r="J243" s="11" t="n"/>
      <c r="K243" s="11" t="n"/>
    </row>
    <row r="244">
      <c r="A244" s="31">
        <f>IF(会员档案!$U244="沉睡客户",会员档案!$A244,"")</f>
        <v/>
      </c>
      <c r="B244" s="31">
        <f>IF(A244="","",会员档案!$B244)</f>
        <v/>
      </c>
      <c r="C244" s="31">
        <f>IF(A244="","",会员档案!$D244)</f>
        <v/>
      </c>
      <c r="D244" s="31">
        <f>IF(A244="","",会员档案!$F244)</f>
        <v/>
      </c>
      <c r="E244" s="58">
        <f>IF(A244="","",会员档案!$S244)</f>
        <v/>
      </c>
      <c r="F244" s="31">
        <f>IF(A244="","",会员档案!$T244)</f>
        <v/>
      </c>
      <c r="G244" s="31">
        <f>IF(A244="","",会员档案!$O244)</f>
        <v/>
      </c>
      <c r="H244" s="31">
        <f>IF(A244="","",会员档案!$P244)</f>
        <v/>
      </c>
      <c r="I244" s="55" t="n"/>
      <c r="J244" s="11" t="n"/>
      <c r="K244" s="11" t="n"/>
    </row>
    <row r="245">
      <c r="A245" s="31">
        <f>IF(会员档案!$U245="沉睡客户",会员档案!$A245,"")</f>
        <v/>
      </c>
      <c r="B245" s="31">
        <f>IF(A245="","",会员档案!$B245)</f>
        <v/>
      </c>
      <c r="C245" s="31">
        <f>IF(A245="","",会员档案!$D245)</f>
        <v/>
      </c>
      <c r="D245" s="31">
        <f>IF(A245="","",会员档案!$F245)</f>
        <v/>
      </c>
      <c r="E245" s="58">
        <f>IF(A245="","",会员档案!$S245)</f>
        <v/>
      </c>
      <c r="F245" s="31">
        <f>IF(A245="","",会员档案!$T245)</f>
        <v/>
      </c>
      <c r="G245" s="31">
        <f>IF(A245="","",会员档案!$O245)</f>
        <v/>
      </c>
      <c r="H245" s="31">
        <f>IF(A245="","",会员档案!$P245)</f>
        <v/>
      </c>
      <c r="I245" s="55" t="n"/>
      <c r="J245" s="11" t="n"/>
      <c r="K245" s="11" t="n"/>
    </row>
    <row r="246">
      <c r="A246" s="31">
        <f>IF(会员档案!$U246="沉睡客户",会员档案!$A246,"")</f>
        <v/>
      </c>
      <c r="B246" s="31">
        <f>IF(A246="","",会员档案!$B246)</f>
        <v/>
      </c>
      <c r="C246" s="31">
        <f>IF(A246="","",会员档案!$D246)</f>
        <v/>
      </c>
      <c r="D246" s="31">
        <f>IF(A246="","",会员档案!$F246)</f>
        <v/>
      </c>
      <c r="E246" s="58">
        <f>IF(A246="","",会员档案!$S246)</f>
        <v/>
      </c>
      <c r="F246" s="31">
        <f>IF(A246="","",会员档案!$T246)</f>
        <v/>
      </c>
      <c r="G246" s="31">
        <f>IF(A246="","",会员档案!$O246)</f>
        <v/>
      </c>
      <c r="H246" s="31">
        <f>IF(A246="","",会员档案!$P246)</f>
        <v/>
      </c>
      <c r="I246" s="55" t="n"/>
      <c r="J246" s="11" t="n"/>
      <c r="K246" s="11" t="n"/>
    </row>
    <row r="247">
      <c r="A247" s="31">
        <f>IF(会员档案!$U247="沉睡客户",会员档案!$A247,"")</f>
        <v/>
      </c>
      <c r="B247" s="31">
        <f>IF(A247="","",会员档案!$B247)</f>
        <v/>
      </c>
      <c r="C247" s="31">
        <f>IF(A247="","",会员档案!$D247)</f>
        <v/>
      </c>
      <c r="D247" s="31">
        <f>IF(A247="","",会员档案!$F247)</f>
        <v/>
      </c>
      <c r="E247" s="58">
        <f>IF(A247="","",会员档案!$S247)</f>
        <v/>
      </c>
      <c r="F247" s="31">
        <f>IF(A247="","",会员档案!$T247)</f>
        <v/>
      </c>
      <c r="G247" s="31">
        <f>IF(A247="","",会员档案!$O247)</f>
        <v/>
      </c>
      <c r="H247" s="31">
        <f>IF(A247="","",会员档案!$P247)</f>
        <v/>
      </c>
      <c r="I247" s="55" t="n"/>
      <c r="J247" s="11" t="n"/>
      <c r="K247" s="11" t="n"/>
    </row>
    <row r="248">
      <c r="A248" s="31">
        <f>IF(会员档案!$U248="沉睡客户",会员档案!$A248,"")</f>
        <v/>
      </c>
      <c r="B248" s="31">
        <f>IF(A248="","",会员档案!$B248)</f>
        <v/>
      </c>
      <c r="C248" s="31">
        <f>IF(A248="","",会员档案!$D248)</f>
        <v/>
      </c>
      <c r="D248" s="31">
        <f>IF(A248="","",会员档案!$F248)</f>
        <v/>
      </c>
      <c r="E248" s="58">
        <f>IF(A248="","",会员档案!$S248)</f>
        <v/>
      </c>
      <c r="F248" s="31">
        <f>IF(A248="","",会员档案!$T248)</f>
        <v/>
      </c>
      <c r="G248" s="31">
        <f>IF(A248="","",会员档案!$O248)</f>
        <v/>
      </c>
      <c r="H248" s="31">
        <f>IF(A248="","",会员档案!$P248)</f>
        <v/>
      </c>
      <c r="I248" s="55" t="n"/>
      <c r="J248" s="11" t="n"/>
      <c r="K248" s="11" t="n"/>
    </row>
    <row r="249">
      <c r="A249" s="31">
        <f>IF(会员档案!$U249="沉睡客户",会员档案!$A249,"")</f>
        <v/>
      </c>
      <c r="B249" s="31">
        <f>IF(A249="","",会员档案!$B249)</f>
        <v/>
      </c>
      <c r="C249" s="31">
        <f>IF(A249="","",会员档案!$D249)</f>
        <v/>
      </c>
      <c r="D249" s="31">
        <f>IF(A249="","",会员档案!$F249)</f>
        <v/>
      </c>
      <c r="E249" s="58">
        <f>IF(A249="","",会员档案!$S249)</f>
        <v/>
      </c>
      <c r="F249" s="31">
        <f>IF(A249="","",会员档案!$T249)</f>
        <v/>
      </c>
      <c r="G249" s="31">
        <f>IF(A249="","",会员档案!$O249)</f>
        <v/>
      </c>
      <c r="H249" s="31">
        <f>IF(A249="","",会员档案!$P249)</f>
        <v/>
      </c>
      <c r="I249" s="55" t="n"/>
      <c r="J249" s="11" t="n"/>
      <c r="K249" s="11" t="n"/>
    </row>
    <row r="250">
      <c r="A250" s="31">
        <f>IF(会员档案!$U250="沉睡客户",会员档案!$A250,"")</f>
        <v/>
      </c>
      <c r="B250" s="31">
        <f>IF(A250="","",会员档案!$B250)</f>
        <v/>
      </c>
      <c r="C250" s="31">
        <f>IF(A250="","",会员档案!$D250)</f>
        <v/>
      </c>
      <c r="D250" s="31">
        <f>IF(A250="","",会员档案!$F250)</f>
        <v/>
      </c>
      <c r="E250" s="58">
        <f>IF(A250="","",会员档案!$S250)</f>
        <v/>
      </c>
      <c r="F250" s="31">
        <f>IF(A250="","",会员档案!$T250)</f>
        <v/>
      </c>
      <c r="G250" s="31">
        <f>IF(A250="","",会员档案!$O250)</f>
        <v/>
      </c>
      <c r="H250" s="31">
        <f>IF(A250="","",会员档案!$P250)</f>
        <v/>
      </c>
      <c r="I250" s="55" t="n"/>
      <c r="J250" s="11" t="n"/>
      <c r="K250" s="11" t="n"/>
    </row>
    <row r="251">
      <c r="A251" s="31">
        <f>IF(会员档案!$U251="沉睡客户",会员档案!$A251,"")</f>
        <v/>
      </c>
      <c r="B251" s="31">
        <f>IF(A251="","",会员档案!$B251)</f>
        <v/>
      </c>
      <c r="C251" s="31">
        <f>IF(A251="","",会员档案!$D251)</f>
        <v/>
      </c>
      <c r="D251" s="31">
        <f>IF(A251="","",会员档案!$F251)</f>
        <v/>
      </c>
      <c r="E251" s="58">
        <f>IF(A251="","",会员档案!$S251)</f>
        <v/>
      </c>
      <c r="F251" s="31">
        <f>IF(A251="","",会员档案!$T251)</f>
        <v/>
      </c>
      <c r="G251" s="31">
        <f>IF(A251="","",会员档案!$O251)</f>
        <v/>
      </c>
      <c r="H251" s="31">
        <f>IF(A251="","",会员档案!$P251)</f>
        <v/>
      </c>
      <c r="I251" s="55" t="n"/>
      <c r="J251" s="11" t="n"/>
      <c r="K251" s="11" t="n"/>
    </row>
    <row r="252">
      <c r="A252" s="31">
        <f>IF(会员档案!$U252="沉睡客户",会员档案!$A252,"")</f>
        <v/>
      </c>
      <c r="B252" s="31">
        <f>IF(A252="","",会员档案!$B252)</f>
        <v/>
      </c>
      <c r="C252" s="31">
        <f>IF(A252="","",会员档案!$D252)</f>
        <v/>
      </c>
      <c r="D252" s="31">
        <f>IF(A252="","",会员档案!$F252)</f>
        <v/>
      </c>
      <c r="E252" s="58">
        <f>IF(A252="","",会员档案!$S252)</f>
        <v/>
      </c>
      <c r="F252" s="31">
        <f>IF(A252="","",会员档案!$T252)</f>
        <v/>
      </c>
      <c r="G252" s="31">
        <f>IF(A252="","",会员档案!$O252)</f>
        <v/>
      </c>
      <c r="H252" s="31">
        <f>IF(A252="","",会员档案!$P252)</f>
        <v/>
      </c>
      <c r="I252" s="55" t="n"/>
      <c r="J252" s="11" t="n"/>
      <c r="K252" s="11" t="n"/>
    </row>
    <row r="253">
      <c r="A253" s="31">
        <f>IF(会员档案!$U253="沉睡客户",会员档案!$A253,"")</f>
        <v/>
      </c>
      <c r="B253" s="31">
        <f>IF(A253="","",会员档案!$B253)</f>
        <v/>
      </c>
      <c r="C253" s="31">
        <f>IF(A253="","",会员档案!$D253)</f>
        <v/>
      </c>
      <c r="D253" s="31">
        <f>IF(A253="","",会员档案!$F253)</f>
        <v/>
      </c>
      <c r="E253" s="58">
        <f>IF(A253="","",会员档案!$S253)</f>
        <v/>
      </c>
      <c r="F253" s="31">
        <f>IF(A253="","",会员档案!$T253)</f>
        <v/>
      </c>
      <c r="G253" s="31">
        <f>IF(A253="","",会员档案!$O253)</f>
        <v/>
      </c>
      <c r="H253" s="31">
        <f>IF(A253="","",会员档案!$P253)</f>
        <v/>
      </c>
      <c r="I253" s="55" t="n"/>
      <c r="J253" s="11" t="n"/>
      <c r="K253" s="11" t="n"/>
    </row>
    <row r="254">
      <c r="A254" s="31">
        <f>IF(会员档案!$U254="沉睡客户",会员档案!$A254,"")</f>
        <v/>
      </c>
      <c r="B254" s="31">
        <f>IF(A254="","",会员档案!$B254)</f>
        <v/>
      </c>
      <c r="C254" s="31">
        <f>IF(A254="","",会员档案!$D254)</f>
        <v/>
      </c>
      <c r="D254" s="31">
        <f>IF(A254="","",会员档案!$F254)</f>
        <v/>
      </c>
      <c r="E254" s="58">
        <f>IF(A254="","",会员档案!$S254)</f>
        <v/>
      </c>
      <c r="F254" s="31">
        <f>IF(A254="","",会员档案!$T254)</f>
        <v/>
      </c>
      <c r="G254" s="31">
        <f>IF(A254="","",会员档案!$O254)</f>
        <v/>
      </c>
      <c r="H254" s="31">
        <f>IF(A254="","",会员档案!$P254)</f>
        <v/>
      </c>
      <c r="I254" s="55" t="n"/>
      <c r="J254" s="11" t="n"/>
      <c r="K254" s="11" t="n"/>
    </row>
    <row r="255">
      <c r="A255" s="31">
        <f>IF(会员档案!$U255="沉睡客户",会员档案!$A255,"")</f>
        <v/>
      </c>
      <c r="B255" s="31">
        <f>IF(A255="","",会员档案!$B255)</f>
        <v/>
      </c>
      <c r="C255" s="31">
        <f>IF(A255="","",会员档案!$D255)</f>
        <v/>
      </c>
      <c r="D255" s="31">
        <f>IF(A255="","",会员档案!$F255)</f>
        <v/>
      </c>
      <c r="E255" s="58">
        <f>IF(A255="","",会员档案!$S255)</f>
        <v/>
      </c>
      <c r="F255" s="31">
        <f>IF(A255="","",会员档案!$T255)</f>
        <v/>
      </c>
      <c r="G255" s="31">
        <f>IF(A255="","",会员档案!$O255)</f>
        <v/>
      </c>
      <c r="H255" s="31">
        <f>IF(A255="","",会员档案!$P255)</f>
        <v/>
      </c>
      <c r="I255" s="55" t="n"/>
      <c r="J255" s="11" t="n"/>
      <c r="K255" s="11" t="n"/>
    </row>
    <row r="256">
      <c r="A256" s="31">
        <f>IF(会员档案!$U256="沉睡客户",会员档案!$A256,"")</f>
        <v/>
      </c>
      <c r="B256" s="31">
        <f>IF(A256="","",会员档案!$B256)</f>
        <v/>
      </c>
      <c r="C256" s="31">
        <f>IF(A256="","",会员档案!$D256)</f>
        <v/>
      </c>
      <c r="D256" s="31">
        <f>IF(A256="","",会员档案!$F256)</f>
        <v/>
      </c>
      <c r="E256" s="58">
        <f>IF(A256="","",会员档案!$S256)</f>
        <v/>
      </c>
      <c r="F256" s="31">
        <f>IF(A256="","",会员档案!$T256)</f>
        <v/>
      </c>
      <c r="G256" s="31">
        <f>IF(A256="","",会员档案!$O256)</f>
        <v/>
      </c>
      <c r="H256" s="31">
        <f>IF(A256="","",会员档案!$P256)</f>
        <v/>
      </c>
      <c r="I256" s="55" t="n"/>
      <c r="J256" s="11" t="n"/>
      <c r="K256" s="11" t="n"/>
    </row>
    <row r="257">
      <c r="A257" s="31">
        <f>IF(会员档案!$U257="沉睡客户",会员档案!$A257,"")</f>
        <v/>
      </c>
      <c r="B257" s="31">
        <f>IF(A257="","",会员档案!$B257)</f>
        <v/>
      </c>
      <c r="C257" s="31">
        <f>IF(A257="","",会员档案!$D257)</f>
        <v/>
      </c>
      <c r="D257" s="31">
        <f>IF(A257="","",会员档案!$F257)</f>
        <v/>
      </c>
      <c r="E257" s="58">
        <f>IF(A257="","",会员档案!$S257)</f>
        <v/>
      </c>
      <c r="F257" s="31">
        <f>IF(A257="","",会员档案!$T257)</f>
        <v/>
      </c>
      <c r="G257" s="31">
        <f>IF(A257="","",会员档案!$O257)</f>
        <v/>
      </c>
      <c r="H257" s="31">
        <f>IF(A257="","",会员档案!$P257)</f>
        <v/>
      </c>
      <c r="I257" s="55" t="n"/>
      <c r="J257" s="11" t="n"/>
      <c r="K257" s="11" t="n"/>
    </row>
    <row r="258">
      <c r="A258" s="31">
        <f>IF(会员档案!$U258="沉睡客户",会员档案!$A258,"")</f>
        <v/>
      </c>
      <c r="B258" s="31">
        <f>IF(A258="","",会员档案!$B258)</f>
        <v/>
      </c>
      <c r="C258" s="31">
        <f>IF(A258="","",会员档案!$D258)</f>
        <v/>
      </c>
      <c r="D258" s="31">
        <f>IF(A258="","",会员档案!$F258)</f>
        <v/>
      </c>
      <c r="E258" s="58">
        <f>IF(A258="","",会员档案!$S258)</f>
        <v/>
      </c>
      <c r="F258" s="31">
        <f>IF(A258="","",会员档案!$T258)</f>
        <v/>
      </c>
      <c r="G258" s="31">
        <f>IF(A258="","",会员档案!$O258)</f>
        <v/>
      </c>
      <c r="H258" s="31">
        <f>IF(A258="","",会员档案!$P258)</f>
        <v/>
      </c>
      <c r="I258" s="55" t="n"/>
      <c r="J258" s="11" t="n"/>
      <c r="K258" s="11" t="n"/>
    </row>
    <row r="259">
      <c r="A259" s="31">
        <f>IF(会员档案!$U259="沉睡客户",会员档案!$A259,"")</f>
        <v/>
      </c>
      <c r="B259" s="31">
        <f>IF(A259="","",会员档案!$B259)</f>
        <v/>
      </c>
      <c r="C259" s="31">
        <f>IF(A259="","",会员档案!$D259)</f>
        <v/>
      </c>
      <c r="D259" s="31">
        <f>IF(A259="","",会员档案!$F259)</f>
        <v/>
      </c>
      <c r="E259" s="58">
        <f>IF(A259="","",会员档案!$S259)</f>
        <v/>
      </c>
      <c r="F259" s="31">
        <f>IF(A259="","",会员档案!$T259)</f>
        <v/>
      </c>
      <c r="G259" s="31">
        <f>IF(A259="","",会员档案!$O259)</f>
        <v/>
      </c>
      <c r="H259" s="31">
        <f>IF(A259="","",会员档案!$P259)</f>
        <v/>
      </c>
      <c r="I259" s="55" t="n"/>
      <c r="J259" s="11" t="n"/>
      <c r="K259" s="11" t="n"/>
    </row>
    <row r="260">
      <c r="A260" s="31">
        <f>IF(会员档案!$U260="沉睡客户",会员档案!$A260,"")</f>
        <v/>
      </c>
      <c r="B260" s="31">
        <f>IF(A260="","",会员档案!$B260)</f>
        <v/>
      </c>
      <c r="C260" s="31">
        <f>IF(A260="","",会员档案!$D260)</f>
        <v/>
      </c>
      <c r="D260" s="31">
        <f>IF(A260="","",会员档案!$F260)</f>
        <v/>
      </c>
      <c r="E260" s="58">
        <f>IF(A260="","",会员档案!$S260)</f>
        <v/>
      </c>
      <c r="F260" s="31">
        <f>IF(A260="","",会员档案!$T260)</f>
        <v/>
      </c>
      <c r="G260" s="31">
        <f>IF(A260="","",会员档案!$O260)</f>
        <v/>
      </c>
      <c r="H260" s="31">
        <f>IF(A260="","",会员档案!$P260)</f>
        <v/>
      </c>
      <c r="I260" s="55" t="n"/>
      <c r="J260" s="11" t="n"/>
      <c r="K260" s="11" t="n"/>
    </row>
    <row r="261">
      <c r="A261" s="31">
        <f>IF(会员档案!$U261="沉睡客户",会员档案!$A261,"")</f>
        <v/>
      </c>
      <c r="B261" s="31">
        <f>IF(A261="","",会员档案!$B261)</f>
        <v/>
      </c>
      <c r="C261" s="31">
        <f>IF(A261="","",会员档案!$D261)</f>
        <v/>
      </c>
      <c r="D261" s="31">
        <f>IF(A261="","",会员档案!$F261)</f>
        <v/>
      </c>
      <c r="E261" s="58">
        <f>IF(A261="","",会员档案!$S261)</f>
        <v/>
      </c>
      <c r="F261" s="31">
        <f>IF(A261="","",会员档案!$T261)</f>
        <v/>
      </c>
      <c r="G261" s="31">
        <f>IF(A261="","",会员档案!$O261)</f>
        <v/>
      </c>
      <c r="H261" s="31">
        <f>IF(A261="","",会员档案!$P261)</f>
        <v/>
      </c>
      <c r="I261" s="55" t="n"/>
      <c r="J261" s="11" t="n"/>
      <c r="K261" s="11" t="n"/>
    </row>
    <row r="262">
      <c r="A262" s="31">
        <f>IF(会员档案!$U262="沉睡客户",会员档案!$A262,"")</f>
        <v/>
      </c>
      <c r="B262" s="31">
        <f>IF(A262="","",会员档案!$B262)</f>
        <v/>
      </c>
      <c r="C262" s="31">
        <f>IF(A262="","",会员档案!$D262)</f>
        <v/>
      </c>
      <c r="D262" s="31">
        <f>IF(A262="","",会员档案!$F262)</f>
        <v/>
      </c>
      <c r="E262" s="58">
        <f>IF(A262="","",会员档案!$S262)</f>
        <v/>
      </c>
      <c r="F262" s="31">
        <f>IF(A262="","",会员档案!$T262)</f>
        <v/>
      </c>
      <c r="G262" s="31">
        <f>IF(A262="","",会员档案!$O262)</f>
        <v/>
      </c>
      <c r="H262" s="31">
        <f>IF(A262="","",会员档案!$P262)</f>
        <v/>
      </c>
      <c r="I262" s="55" t="n"/>
      <c r="J262" s="11" t="n"/>
      <c r="K262" s="11" t="n"/>
    </row>
    <row r="263">
      <c r="A263" s="31">
        <f>IF(会员档案!$U263="沉睡客户",会员档案!$A263,"")</f>
        <v/>
      </c>
      <c r="B263" s="31">
        <f>IF(A263="","",会员档案!$B263)</f>
        <v/>
      </c>
      <c r="C263" s="31">
        <f>IF(A263="","",会员档案!$D263)</f>
        <v/>
      </c>
      <c r="D263" s="31">
        <f>IF(A263="","",会员档案!$F263)</f>
        <v/>
      </c>
      <c r="E263" s="58">
        <f>IF(A263="","",会员档案!$S263)</f>
        <v/>
      </c>
      <c r="F263" s="31">
        <f>IF(A263="","",会员档案!$T263)</f>
        <v/>
      </c>
      <c r="G263" s="31">
        <f>IF(A263="","",会员档案!$O263)</f>
        <v/>
      </c>
      <c r="H263" s="31">
        <f>IF(A263="","",会员档案!$P263)</f>
        <v/>
      </c>
      <c r="I263" s="55" t="n"/>
      <c r="J263" s="11" t="n"/>
      <c r="K263" s="11" t="n"/>
    </row>
    <row r="264">
      <c r="A264" s="31">
        <f>IF(会员档案!$U264="沉睡客户",会员档案!$A264,"")</f>
        <v/>
      </c>
      <c r="B264" s="31">
        <f>IF(A264="","",会员档案!$B264)</f>
        <v/>
      </c>
      <c r="C264" s="31">
        <f>IF(A264="","",会员档案!$D264)</f>
        <v/>
      </c>
      <c r="D264" s="31">
        <f>IF(A264="","",会员档案!$F264)</f>
        <v/>
      </c>
      <c r="E264" s="58">
        <f>IF(A264="","",会员档案!$S264)</f>
        <v/>
      </c>
      <c r="F264" s="31">
        <f>IF(A264="","",会员档案!$T264)</f>
        <v/>
      </c>
      <c r="G264" s="31">
        <f>IF(A264="","",会员档案!$O264)</f>
        <v/>
      </c>
      <c r="H264" s="31">
        <f>IF(A264="","",会员档案!$P264)</f>
        <v/>
      </c>
      <c r="I264" s="55" t="n"/>
      <c r="J264" s="11" t="n"/>
      <c r="K264" s="11" t="n"/>
    </row>
    <row r="265">
      <c r="A265" s="31">
        <f>IF(会员档案!$U265="沉睡客户",会员档案!$A265,"")</f>
        <v/>
      </c>
      <c r="B265" s="31">
        <f>IF(A265="","",会员档案!$B265)</f>
        <v/>
      </c>
      <c r="C265" s="31">
        <f>IF(A265="","",会员档案!$D265)</f>
        <v/>
      </c>
      <c r="D265" s="31">
        <f>IF(A265="","",会员档案!$F265)</f>
        <v/>
      </c>
      <c r="E265" s="58">
        <f>IF(A265="","",会员档案!$S265)</f>
        <v/>
      </c>
      <c r="F265" s="31">
        <f>IF(A265="","",会员档案!$T265)</f>
        <v/>
      </c>
      <c r="G265" s="31">
        <f>IF(A265="","",会员档案!$O265)</f>
        <v/>
      </c>
      <c r="H265" s="31">
        <f>IF(A265="","",会员档案!$P265)</f>
        <v/>
      </c>
      <c r="I265" s="55" t="n"/>
      <c r="J265" s="11" t="n"/>
      <c r="K265" s="11" t="n"/>
    </row>
    <row r="266">
      <c r="A266" s="31">
        <f>IF(会员档案!$U266="沉睡客户",会员档案!$A266,"")</f>
        <v/>
      </c>
      <c r="B266" s="31">
        <f>IF(A266="","",会员档案!$B266)</f>
        <v/>
      </c>
      <c r="C266" s="31">
        <f>IF(A266="","",会员档案!$D266)</f>
        <v/>
      </c>
      <c r="D266" s="31">
        <f>IF(A266="","",会员档案!$F266)</f>
        <v/>
      </c>
      <c r="E266" s="58">
        <f>IF(A266="","",会员档案!$S266)</f>
        <v/>
      </c>
      <c r="F266" s="31">
        <f>IF(A266="","",会员档案!$T266)</f>
        <v/>
      </c>
      <c r="G266" s="31">
        <f>IF(A266="","",会员档案!$O266)</f>
        <v/>
      </c>
      <c r="H266" s="31">
        <f>IF(A266="","",会员档案!$P266)</f>
        <v/>
      </c>
      <c r="I266" s="55" t="n"/>
      <c r="J266" s="11" t="n"/>
      <c r="K266" s="11" t="n"/>
    </row>
    <row r="267">
      <c r="A267" s="31">
        <f>IF(会员档案!$U267="沉睡客户",会员档案!$A267,"")</f>
        <v/>
      </c>
      <c r="B267" s="31">
        <f>IF(A267="","",会员档案!$B267)</f>
        <v/>
      </c>
      <c r="C267" s="31">
        <f>IF(A267="","",会员档案!$D267)</f>
        <v/>
      </c>
      <c r="D267" s="31">
        <f>IF(A267="","",会员档案!$F267)</f>
        <v/>
      </c>
      <c r="E267" s="58">
        <f>IF(A267="","",会员档案!$S267)</f>
        <v/>
      </c>
      <c r="F267" s="31">
        <f>IF(A267="","",会员档案!$T267)</f>
        <v/>
      </c>
      <c r="G267" s="31">
        <f>IF(A267="","",会员档案!$O267)</f>
        <v/>
      </c>
      <c r="H267" s="31">
        <f>IF(A267="","",会员档案!$P267)</f>
        <v/>
      </c>
      <c r="I267" s="55" t="n"/>
      <c r="J267" s="11" t="n"/>
      <c r="K267" s="11" t="n"/>
    </row>
    <row r="268">
      <c r="A268" s="31">
        <f>IF(会员档案!$U268="沉睡客户",会员档案!$A268,"")</f>
        <v/>
      </c>
      <c r="B268" s="31">
        <f>IF(A268="","",会员档案!$B268)</f>
        <v/>
      </c>
      <c r="C268" s="31">
        <f>IF(A268="","",会员档案!$D268)</f>
        <v/>
      </c>
      <c r="D268" s="31">
        <f>IF(A268="","",会员档案!$F268)</f>
        <v/>
      </c>
      <c r="E268" s="58">
        <f>IF(A268="","",会员档案!$S268)</f>
        <v/>
      </c>
      <c r="F268" s="31">
        <f>IF(A268="","",会员档案!$T268)</f>
        <v/>
      </c>
      <c r="G268" s="31">
        <f>IF(A268="","",会员档案!$O268)</f>
        <v/>
      </c>
      <c r="H268" s="31">
        <f>IF(A268="","",会员档案!$P268)</f>
        <v/>
      </c>
      <c r="I268" s="55" t="n"/>
      <c r="J268" s="11" t="n"/>
      <c r="K268" s="11" t="n"/>
    </row>
    <row r="269">
      <c r="A269" s="31">
        <f>IF(会员档案!$U269="沉睡客户",会员档案!$A269,"")</f>
        <v/>
      </c>
      <c r="B269" s="31">
        <f>IF(A269="","",会员档案!$B269)</f>
        <v/>
      </c>
      <c r="C269" s="31">
        <f>IF(A269="","",会员档案!$D269)</f>
        <v/>
      </c>
      <c r="D269" s="31">
        <f>IF(A269="","",会员档案!$F269)</f>
        <v/>
      </c>
      <c r="E269" s="58">
        <f>IF(A269="","",会员档案!$S269)</f>
        <v/>
      </c>
      <c r="F269" s="31">
        <f>IF(A269="","",会员档案!$T269)</f>
        <v/>
      </c>
      <c r="G269" s="31">
        <f>IF(A269="","",会员档案!$O269)</f>
        <v/>
      </c>
      <c r="H269" s="31">
        <f>IF(A269="","",会员档案!$P269)</f>
        <v/>
      </c>
      <c r="I269" s="55" t="n"/>
      <c r="J269" s="11" t="n"/>
      <c r="K269" s="11" t="n"/>
    </row>
    <row r="270">
      <c r="A270" s="31">
        <f>IF(会员档案!$U270="沉睡客户",会员档案!$A270,"")</f>
        <v/>
      </c>
      <c r="B270" s="31">
        <f>IF(A270="","",会员档案!$B270)</f>
        <v/>
      </c>
      <c r="C270" s="31">
        <f>IF(A270="","",会员档案!$D270)</f>
        <v/>
      </c>
      <c r="D270" s="31">
        <f>IF(A270="","",会员档案!$F270)</f>
        <v/>
      </c>
      <c r="E270" s="58">
        <f>IF(A270="","",会员档案!$S270)</f>
        <v/>
      </c>
      <c r="F270" s="31">
        <f>IF(A270="","",会员档案!$T270)</f>
        <v/>
      </c>
      <c r="G270" s="31">
        <f>IF(A270="","",会员档案!$O270)</f>
        <v/>
      </c>
      <c r="H270" s="31">
        <f>IF(A270="","",会员档案!$P270)</f>
        <v/>
      </c>
      <c r="I270" s="55" t="n"/>
      <c r="J270" s="11" t="n"/>
      <c r="K270" s="11" t="n"/>
    </row>
    <row r="271">
      <c r="A271" s="31">
        <f>IF(会员档案!$U271="沉睡客户",会员档案!$A271,"")</f>
        <v/>
      </c>
      <c r="B271" s="31">
        <f>IF(A271="","",会员档案!$B271)</f>
        <v/>
      </c>
      <c r="C271" s="31">
        <f>IF(A271="","",会员档案!$D271)</f>
        <v/>
      </c>
      <c r="D271" s="31">
        <f>IF(A271="","",会员档案!$F271)</f>
        <v/>
      </c>
      <c r="E271" s="58">
        <f>IF(A271="","",会员档案!$S271)</f>
        <v/>
      </c>
      <c r="F271" s="31">
        <f>IF(A271="","",会员档案!$T271)</f>
        <v/>
      </c>
      <c r="G271" s="31">
        <f>IF(A271="","",会员档案!$O271)</f>
        <v/>
      </c>
      <c r="H271" s="31">
        <f>IF(A271="","",会员档案!$P271)</f>
        <v/>
      </c>
      <c r="I271" s="55" t="n"/>
      <c r="J271" s="11" t="n"/>
      <c r="K271" s="11" t="n"/>
    </row>
    <row r="272">
      <c r="A272" s="31">
        <f>IF(会员档案!$U272="沉睡客户",会员档案!$A272,"")</f>
        <v/>
      </c>
      <c r="B272" s="31">
        <f>IF(A272="","",会员档案!$B272)</f>
        <v/>
      </c>
      <c r="C272" s="31">
        <f>IF(A272="","",会员档案!$D272)</f>
        <v/>
      </c>
      <c r="D272" s="31">
        <f>IF(A272="","",会员档案!$F272)</f>
        <v/>
      </c>
      <c r="E272" s="58">
        <f>IF(A272="","",会员档案!$S272)</f>
        <v/>
      </c>
      <c r="F272" s="31">
        <f>IF(A272="","",会员档案!$T272)</f>
        <v/>
      </c>
      <c r="G272" s="31">
        <f>IF(A272="","",会员档案!$O272)</f>
        <v/>
      </c>
      <c r="H272" s="31">
        <f>IF(A272="","",会员档案!$P272)</f>
        <v/>
      </c>
      <c r="I272" s="55" t="n"/>
      <c r="J272" s="11" t="n"/>
      <c r="K272" s="11" t="n"/>
    </row>
    <row r="273">
      <c r="A273" s="31">
        <f>IF(会员档案!$U273="沉睡客户",会员档案!$A273,"")</f>
        <v/>
      </c>
      <c r="B273" s="31">
        <f>IF(A273="","",会员档案!$B273)</f>
        <v/>
      </c>
      <c r="C273" s="31">
        <f>IF(A273="","",会员档案!$D273)</f>
        <v/>
      </c>
      <c r="D273" s="31">
        <f>IF(A273="","",会员档案!$F273)</f>
        <v/>
      </c>
      <c r="E273" s="58">
        <f>IF(A273="","",会员档案!$S273)</f>
        <v/>
      </c>
      <c r="F273" s="31">
        <f>IF(A273="","",会员档案!$T273)</f>
        <v/>
      </c>
      <c r="G273" s="31">
        <f>IF(A273="","",会员档案!$O273)</f>
        <v/>
      </c>
      <c r="H273" s="31">
        <f>IF(A273="","",会员档案!$P273)</f>
        <v/>
      </c>
      <c r="I273" s="55" t="n"/>
      <c r="J273" s="11" t="n"/>
      <c r="K273" s="11" t="n"/>
    </row>
    <row r="274">
      <c r="A274" s="31">
        <f>IF(会员档案!$U274="沉睡客户",会员档案!$A274,"")</f>
        <v/>
      </c>
      <c r="B274" s="31">
        <f>IF(A274="","",会员档案!$B274)</f>
        <v/>
      </c>
      <c r="C274" s="31">
        <f>IF(A274="","",会员档案!$D274)</f>
        <v/>
      </c>
      <c r="D274" s="31">
        <f>IF(A274="","",会员档案!$F274)</f>
        <v/>
      </c>
      <c r="E274" s="58">
        <f>IF(A274="","",会员档案!$S274)</f>
        <v/>
      </c>
      <c r="F274" s="31">
        <f>IF(A274="","",会员档案!$T274)</f>
        <v/>
      </c>
      <c r="G274" s="31">
        <f>IF(A274="","",会员档案!$O274)</f>
        <v/>
      </c>
      <c r="H274" s="31">
        <f>IF(A274="","",会员档案!$P274)</f>
        <v/>
      </c>
      <c r="I274" s="55" t="n"/>
      <c r="J274" s="11" t="n"/>
      <c r="K274" s="11" t="n"/>
    </row>
    <row r="275">
      <c r="A275" s="31">
        <f>IF(会员档案!$U275="沉睡客户",会员档案!$A275,"")</f>
        <v/>
      </c>
      <c r="B275" s="31">
        <f>IF(A275="","",会员档案!$B275)</f>
        <v/>
      </c>
      <c r="C275" s="31">
        <f>IF(A275="","",会员档案!$D275)</f>
        <v/>
      </c>
      <c r="D275" s="31">
        <f>IF(A275="","",会员档案!$F275)</f>
        <v/>
      </c>
      <c r="E275" s="58">
        <f>IF(A275="","",会员档案!$S275)</f>
        <v/>
      </c>
      <c r="F275" s="31">
        <f>IF(A275="","",会员档案!$T275)</f>
        <v/>
      </c>
      <c r="G275" s="31">
        <f>IF(A275="","",会员档案!$O275)</f>
        <v/>
      </c>
      <c r="H275" s="31">
        <f>IF(A275="","",会员档案!$P275)</f>
        <v/>
      </c>
      <c r="I275" s="55" t="n"/>
      <c r="J275" s="11" t="n"/>
      <c r="K275" s="11" t="n"/>
    </row>
    <row r="276">
      <c r="A276" s="31">
        <f>IF(会员档案!$U276="沉睡客户",会员档案!$A276,"")</f>
        <v/>
      </c>
      <c r="B276" s="31">
        <f>IF(A276="","",会员档案!$B276)</f>
        <v/>
      </c>
      <c r="C276" s="31">
        <f>IF(A276="","",会员档案!$D276)</f>
        <v/>
      </c>
      <c r="D276" s="31">
        <f>IF(A276="","",会员档案!$F276)</f>
        <v/>
      </c>
      <c r="E276" s="58">
        <f>IF(A276="","",会员档案!$S276)</f>
        <v/>
      </c>
      <c r="F276" s="31">
        <f>IF(A276="","",会员档案!$T276)</f>
        <v/>
      </c>
      <c r="G276" s="31">
        <f>IF(A276="","",会员档案!$O276)</f>
        <v/>
      </c>
      <c r="H276" s="31">
        <f>IF(A276="","",会员档案!$P276)</f>
        <v/>
      </c>
      <c r="I276" s="55" t="n"/>
      <c r="J276" s="11" t="n"/>
      <c r="K276" s="11" t="n"/>
    </row>
    <row r="277">
      <c r="A277" s="31">
        <f>IF(会员档案!$U277="沉睡客户",会员档案!$A277,"")</f>
        <v/>
      </c>
      <c r="B277" s="31">
        <f>IF(A277="","",会员档案!$B277)</f>
        <v/>
      </c>
      <c r="C277" s="31">
        <f>IF(A277="","",会员档案!$D277)</f>
        <v/>
      </c>
      <c r="D277" s="31">
        <f>IF(A277="","",会员档案!$F277)</f>
        <v/>
      </c>
      <c r="E277" s="58">
        <f>IF(A277="","",会员档案!$S277)</f>
        <v/>
      </c>
      <c r="F277" s="31">
        <f>IF(A277="","",会员档案!$T277)</f>
        <v/>
      </c>
      <c r="G277" s="31">
        <f>IF(A277="","",会员档案!$O277)</f>
        <v/>
      </c>
      <c r="H277" s="31">
        <f>IF(A277="","",会员档案!$P277)</f>
        <v/>
      </c>
      <c r="I277" s="55" t="n"/>
      <c r="J277" s="11" t="n"/>
      <c r="K277" s="11" t="n"/>
    </row>
    <row r="278">
      <c r="A278" s="31">
        <f>IF(会员档案!$U278="沉睡客户",会员档案!$A278,"")</f>
        <v/>
      </c>
      <c r="B278" s="31">
        <f>IF(A278="","",会员档案!$B278)</f>
        <v/>
      </c>
      <c r="C278" s="31">
        <f>IF(A278="","",会员档案!$D278)</f>
        <v/>
      </c>
      <c r="D278" s="31">
        <f>IF(A278="","",会员档案!$F278)</f>
        <v/>
      </c>
      <c r="E278" s="58">
        <f>IF(A278="","",会员档案!$S278)</f>
        <v/>
      </c>
      <c r="F278" s="31">
        <f>IF(A278="","",会员档案!$T278)</f>
        <v/>
      </c>
      <c r="G278" s="31">
        <f>IF(A278="","",会员档案!$O278)</f>
        <v/>
      </c>
      <c r="H278" s="31">
        <f>IF(A278="","",会员档案!$P278)</f>
        <v/>
      </c>
      <c r="I278" s="55" t="n"/>
      <c r="J278" s="11" t="n"/>
      <c r="K278" s="11" t="n"/>
    </row>
    <row r="279">
      <c r="A279" s="31">
        <f>IF(会员档案!$U279="沉睡客户",会员档案!$A279,"")</f>
        <v/>
      </c>
      <c r="B279" s="31">
        <f>IF(A279="","",会员档案!$B279)</f>
        <v/>
      </c>
      <c r="C279" s="31">
        <f>IF(A279="","",会员档案!$D279)</f>
        <v/>
      </c>
      <c r="D279" s="31">
        <f>IF(A279="","",会员档案!$F279)</f>
        <v/>
      </c>
      <c r="E279" s="58">
        <f>IF(A279="","",会员档案!$S279)</f>
        <v/>
      </c>
      <c r="F279" s="31">
        <f>IF(A279="","",会员档案!$T279)</f>
        <v/>
      </c>
      <c r="G279" s="31">
        <f>IF(A279="","",会员档案!$O279)</f>
        <v/>
      </c>
      <c r="H279" s="31">
        <f>IF(A279="","",会员档案!$P279)</f>
        <v/>
      </c>
      <c r="I279" s="55" t="n"/>
      <c r="J279" s="11" t="n"/>
      <c r="K279" s="11" t="n"/>
    </row>
    <row r="280">
      <c r="A280" s="31">
        <f>IF(会员档案!$U280="沉睡客户",会员档案!$A280,"")</f>
        <v/>
      </c>
      <c r="B280" s="31">
        <f>IF(A280="","",会员档案!$B280)</f>
        <v/>
      </c>
      <c r="C280" s="31">
        <f>IF(A280="","",会员档案!$D280)</f>
        <v/>
      </c>
      <c r="D280" s="31">
        <f>IF(A280="","",会员档案!$F280)</f>
        <v/>
      </c>
      <c r="E280" s="58">
        <f>IF(A280="","",会员档案!$S280)</f>
        <v/>
      </c>
      <c r="F280" s="31">
        <f>IF(A280="","",会员档案!$T280)</f>
        <v/>
      </c>
      <c r="G280" s="31">
        <f>IF(A280="","",会员档案!$O280)</f>
        <v/>
      </c>
      <c r="H280" s="31">
        <f>IF(A280="","",会员档案!$P280)</f>
        <v/>
      </c>
      <c r="I280" s="55" t="n"/>
      <c r="J280" s="11" t="n"/>
      <c r="K280" s="11" t="n"/>
    </row>
    <row r="281">
      <c r="A281" s="31">
        <f>IF(会员档案!$U281="沉睡客户",会员档案!$A281,"")</f>
        <v/>
      </c>
      <c r="B281" s="31">
        <f>IF(A281="","",会员档案!$B281)</f>
        <v/>
      </c>
      <c r="C281" s="31">
        <f>IF(A281="","",会员档案!$D281)</f>
        <v/>
      </c>
      <c r="D281" s="31">
        <f>IF(A281="","",会员档案!$F281)</f>
        <v/>
      </c>
      <c r="E281" s="58">
        <f>IF(A281="","",会员档案!$S281)</f>
        <v/>
      </c>
      <c r="F281" s="31">
        <f>IF(A281="","",会员档案!$T281)</f>
        <v/>
      </c>
      <c r="G281" s="31">
        <f>IF(A281="","",会员档案!$O281)</f>
        <v/>
      </c>
      <c r="H281" s="31">
        <f>IF(A281="","",会员档案!$P281)</f>
        <v/>
      </c>
      <c r="I281" s="55" t="n"/>
      <c r="J281" s="11" t="n"/>
      <c r="K281" s="11" t="n"/>
    </row>
    <row r="282">
      <c r="A282" s="31">
        <f>IF(会员档案!$U282="沉睡客户",会员档案!$A282,"")</f>
        <v/>
      </c>
      <c r="B282" s="31">
        <f>IF(A282="","",会员档案!$B282)</f>
        <v/>
      </c>
      <c r="C282" s="31">
        <f>IF(A282="","",会员档案!$D282)</f>
        <v/>
      </c>
      <c r="D282" s="31">
        <f>IF(A282="","",会员档案!$F282)</f>
        <v/>
      </c>
      <c r="E282" s="58">
        <f>IF(A282="","",会员档案!$S282)</f>
        <v/>
      </c>
      <c r="F282" s="31">
        <f>IF(A282="","",会员档案!$T282)</f>
        <v/>
      </c>
      <c r="G282" s="31">
        <f>IF(A282="","",会员档案!$O282)</f>
        <v/>
      </c>
      <c r="H282" s="31">
        <f>IF(A282="","",会员档案!$P282)</f>
        <v/>
      </c>
      <c r="I282" s="55" t="n"/>
      <c r="J282" s="11" t="n"/>
      <c r="K282" s="11" t="n"/>
    </row>
    <row r="283">
      <c r="A283" s="31">
        <f>IF(会员档案!$U283="沉睡客户",会员档案!$A283,"")</f>
        <v/>
      </c>
      <c r="B283" s="31">
        <f>IF(A283="","",会员档案!$B283)</f>
        <v/>
      </c>
      <c r="C283" s="31">
        <f>IF(A283="","",会员档案!$D283)</f>
        <v/>
      </c>
      <c r="D283" s="31">
        <f>IF(A283="","",会员档案!$F283)</f>
        <v/>
      </c>
      <c r="E283" s="58">
        <f>IF(A283="","",会员档案!$S283)</f>
        <v/>
      </c>
      <c r="F283" s="31">
        <f>IF(A283="","",会员档案!$T283)</f>
        <v/>
      </c>
      <c r="G283" s="31">
        <f>IF(A283="","",会员档案!$O283)</f>
        <v/>
      </c>
      <c r="H283" s="31">
        <f>IF(A283="","",会员档案!$P283)</f>
        <v/>
      </c>
      <c r="I283" s="55" t="n"/>
      <c r="J283" s="11" t="n"/>
      <c r="K283" s="11" t="n"/>
    </row>
    <row r="284">
      <c r="A284" s="31">
        <f>IF(会员档案!$U284="沉睡客户",会员档案!$A284,"")</f>
        <v/>
      </c>
      <c r="B284" s="31">
        <f>IF(A284="","",会员档案!$B284)</f>
        <v/>
      </c>
      <c r="C284" s="31">
        <f>IF(A284="","",会员档案!$D284)</f>
        <v/>
      </c>
      <c r="D284" s="31">
        <f>IF(A284="","",会员档案!$F284)</f>
        <v/>
      </c>
      <c r="E284" s="58">
        <f>IF(A284="","",会员档案!$S284)</f>
        <v/>
      </c>
      <c r="F284" s="31">
        <f>IF(A284="","",会员档案!$T284)</f>
        <v/>
      </c>
      <c r="G284" s="31">
        <f>IF(A284="","",会员档案!$O284)</f>
        <v/>
      </c>
      <c r="H284" s="31">
        <f>IF(A284="","",会员档案!$P284)</f>
        <v/>
      </c>
      <c r="I284" s="55" t="n"/>
      <c r="J284" s="11" t="n"/>
      <c r="K284" s="11" t="n"/>
    </row>
    <row r="285">
      <c r="A285" s="31">
        <f>IF(会员档案!$U285="沉睡客户",会员档案!$A285,"")</f>
        <v/>
      </c>
      <c r="B285" s="31">
        <f>IF(A285="","",会员档案!$B285)</f>
        <v/>
      </c>
      <c r="C285" s="31">
        <f>IF(A285="","",会员档案!$D285)</f>
        <v/>
      </c>
      <c r="D285" s="31">
        <f>IF(A285="","",会员档案!$F285)</f>
        <v/>
      </c>
      <c r="E285" s="58">
        <f>IF(A285="","",会员档案!$S285)</f>
        <v/>
      </c>
      <c r="F285" s="31">
        <f>IF(A285="","",会员档案!$T285)</f>
        <v/>
      </c>
      <c r="G285" s="31">
        <f>IF(A285="","",会员档案!$O285)</f>
        <v/>
      </c>
      <c r="H285" s="31">
        <f>IF(A285="","",会员档案!$P285)</f>
        <v/>
      </c>
      <c r="I285" s="55" t="n"/>
      <c r="J285" s="11" t="n"/>
      <c r="K285" s="11" t="n"/>
    </row>
    <row r="286">
      <c r="A286" s="31">
        <f>IF(会员档案!$U286="沉睡客户",会员档案!$A286,"")</f>
        <v/>
      </c>
      <c r="B286" s="31">
        <f>IF(A286="","",会员档案!$B286)</f>
        <v/>
      </c>
      <c r="C286" s="31">
        <f>IF(A286="","",会员档案!$D286)</f>
        <v/>
      </c>
      <c r="D286" s="31">
        <f>IF(A286="","",会员档案!$F286)</f>
        <v/>
      </c>
      <c r="E286" s="58">
        <f>IF(A286="","",会员档案!$S286)</f>
        <v/>
      </c>
      <c r="F286" s="31">
        <f>IF(A286="","",会员档案!$T286)</f>
        <v/>
      </c>
      <c r="G286" s="31">
        <f>IF(A286="","",会员档案!$O286)</f>
        <v/>
      </c>
      <c r="H286" s="31">
        <f>IF(A286="","",会员档案!$P286)</f>
        <v/>
      </c>
      <c r="I286" s="55" t="n"/>
      <c r="J286" s="11" t="n"/>
      <c r="K286" s="11" t="n"/>
    </row>
    <row r="287">
      <c r="A287" s="31">
        <f>IF(会员档案!$U287="沉睡客户",会员档案!$A287,"")</f>
        <v/>
      </c>
      <c r="B287" s="31">
        <f>IF(A287="","",会员档案!$B287)</f>
        <v/>
      </c>
      <c r="C287" s="31">
        <f>IF(A287="","",会员档案!$D287)</f>
        <v/>
      </c>
      <c r="D287" s="31">
        <f>IF(A287="","",会员档案!$F287)</f>
        <v/>
      </c>
      <c r="E287" s="58">
        <f>IF(A287="","",会员档案!$S287)</f>
        <v/>
      </c>
      <c r="F287" s="31">
        <f>IF(A287="","",会员档案!$T287)</f>
        <v/>
      </c>
      <c r="G287" s="31">
        <f>IF(A287="","",会员档案!$O287)</f>
        <v/>
      </c>
      <c r="H287" s="31">
        <f>IF(A287="","",会员档案!$P287)</f>
        <v/>
      </c>
      <c r="I287" s="55" t="n"/>
      <c r="J287" s="11" t="n"/>
      <c r="K287" s="11" t="n"/>
    </row>
    <row r="288">
      <c r="A288" s="31">
        <f>IF(会员档案!$U288="沉睡客户",会员档案!$A288,"")</f>
        <v/>
      </c>
      <c r="B288" s="31">
        <f>IF(A288="","",会员档案!$B288)</f>
        <v/>
      </c>
      <c r="C288" s="31">
        <f>IF(A288="","",会员档案!$D288)</f>
        <v/>
      </c>
      <c r="D288" s="31">
        <f>IF(A288="","",会员档案!$F288)</f>
        <v/>
      </c>
      <c r="E288" s="58">
        <f>IF(A288="","",会员档案!$S288)</f>
        <v/>
      </c>
      <c r="F288" s="31">
        <f>IF(A288="","",会员档案!$T288)</f>
        <v/>
      </c>
      <c r="G288" s="31">
        <f>IF(A288="","",会员档案!$O288)</f>
        <v/>
      </c>
      <c r="H288" s="31">
        <f>IF(A288="","",会员档案!$P288)</f>
        <v/>
      </c>
      <c r="I288" s="55" t="n"/>
      <c r="J288" s="11" t="n"/>
      <c r="K288" s="11" t="n"/>
    </row>
    <row r="289">
      <c r="A289" s="31">
        <f>IF(会员档案!$U289="沉睡客户",会员档案!$A289,"")</f>
        <v/>
      </c>
      <c r="B289" s="31">
        <f>IF(A289="","",会员档案!$B289)</f>
        <v/>
      </c>
      <c r="C289" s="31">
        <f>IF(A289="","",会员档案!$D289)</f>
        <v/>
      </c>
      <c r="D289" s="31">
        <f>IF(A289="","",会员档案!$F289)</f>
        <v/>
      </c>
      <c r="E289" s="58">
        <f>IF(A289="","",会员档案!$S289)</f>
        <v/>
      </c>
      <c r="F289" s="31">
        <f>IF(A289="","",会员档案!$T289)</f>
        <v/>
      </c>
      <c r="G289" s="31">
        <f>IF(A289="","",会员档案!$O289)</f>
        <v/>
      </c>
      <c r="H289" s="31">
        <f>IF(A289="","",会员档案!$P289)</f>
        <v/>
      </c>
      <c r="I289" s="55" t="n"/>
      <c r="J289" s="11" t="n"/>
      <c r="K289" s="11" t="n"/>
    </row>
    <row r="290">
      <c r="A290" s="31">
        <f>IF(会员档案!$U290="沉睡客户",会员档案!$A290,"")</f>
        <v/>
      </c>
      <c r="B290" s="31">
        <f>IF(A290="","",会员档案!$B290)</f>
        <v/>
      </c>
      <c r="C290" s="31">
        <f>IF(A290="","",会员档案!$D290)</f>
        <v/>
      </c>
      <c r="D290" s="31">
        <f>IF(A290="","",会员档案!$F290)</f>
        <v/>
      </c>
      <c r="E290" s="58">
        <f>IF(A290="","",会员档案!$S290)</f>
        <v/>
      </c>
      <c r="F290" s="31">
        <f>IF(A290="","",会员档案!$T290)</f>
        <v/>
      </c>
      <c r="G290" s="31">
        <f>IF(A290="","",会员档案!$O290)</f>
        <v/>
      </c>
      <c r="H290" s="31">
        <f>IF(A290="","",会员档案!$P290)</f>
        <v/>
      </c>
      <c r="I290" s="55" t="n"/>
      <c r="J290" s="11" t="n"/>
      <c r="K290" s="11" t="n"/>
    </row>
    <row r="291">
      <c r="A291" s="31">
        <f>IF(会员档案!$U291="沉睡客户",会员档案!$A291,"")</f>
        <v/>
      </c>
      <c r="B291" s="31">
        <f>IF(A291="","",会员档案!$B291)</f>
        <v/>
      </c>
      <c r="C291" s="31">
        <f>IF(A291="","",会员档案!$D291)</f>
        <v/>
      </c>
      <c r="D291" s="31">
        <f>IF(A291="","",会员档案!$F291)</f>
        <v/>
      </c>
      <c r="E291" s="58">
        <f>IF(A291="","",会员档案!$S291)</f>
        <v/>
      </c>
      <c r="F291" s="31">
        <f>IF(A291="","",会员档案!$T291)</f>
        <v/>
      </c>
      <c r="G291" s="31">
        <f>IF(A291="","",会员档案!$O291)</f>
        <v/>
      </c>
      <c r="H291" s="31">
        <f>IF(A291="","",会员档案!$P291)</f>
        <v/>
      </c>
      <c r="I291" s="55" t="n"/>
      <c r="J291" s="11" t="n"/>
      <c r="K291" s="11" t="n"/>
    </row>
    <row r="292">
      <c r="A292" s="31">
        <f>IF(会员档案!$U292="沉睡客户",会员档案!$A292,"")</f>
        <v/>
      </c>
      <c r="B292" s="31">
        <f>IF(A292="","",会员档案!$B292)</f>
        <v/>
      </c>
      <c r="C292" s="31">
        <f>IF(A292="","",会员档案!$D292)</f>
        <v/>
      </c>
      <c r="D292" s="31">
        <f>IF(A292="","",会员档案!$F292)</f>
        <v/>
      </c>
      <c r="E292" s="58">
        <f>IF(A292="","",会员档案!$S292)</f>
        <v/>
      </c>
      <c r="F292" s="31">
        <f>IF(A292="","",会员档案!$T292)</f>
        <v/>
      </c>
      <c r="G292" s="31">
        <f>IF(A292="","",会员档案!$O292)</f>
        <v/>
      </c>
      <c r="H292" s="31">
        <f>IF(A292="","",会员档案!$P292)</f>
        <v/>
      </c>
      <c r="I292" s="55" t="n"/>
      <c r="J292" s="11" t="n"/>
      <c r="K292" s="11" t="n"/>
    </row>
    <row r="293">
      <c r="A293" s="31">
        <f>IF(会员档案!$U293="沉睡客户",会员档案!$A293,"")</f>
        <v/>
      </c>
      <c r="B293" s="31">
        <f>IF(A293="","",会员档案!$B293)</f>
        <v/>
      </c>
      <c r="C293" s="31">
        <f>IF(A293="","",会员档案!$D293)</f>
        <v/>
      </c>
      <c r="D293" s="31">
        <f>IF(A293="","",会员档案!$F293)</f>
        <v/>
      </c>
      <c r="E293" s="58">
        <f>IF(A293="","",会员档案!$S293)</f>
        <v/>
      </c>
      <c r="F293" s="31">
        <f>IF(A293="","",会员档案!$T293)</f>
        <v/>
      </c>
      <c r="G293" s="31">
        <f>IF(A293="","",会员档案!$O293)</f>
        <v/>
      </c>
      <c r="H293" s="31">
        <f>IF(A293="","",会员档案!$P293)</f>
        <v/>
      </c>
      <c r="I293" s="55" t="n"/>
      <c r="J293" s="11" t="n"/>
      <c r="K293" s="11" t="n"/>
    </row>
    <row r="294">
      <c r="A294" s="31">
        <f>IF(会员档案!$U294="沉睡客户",会员档案!$A294,"")</f>
        <v/>
      </c>
      <c r="B294" s="31">
        <f>IF(A294="","",会员档案!$B294)</f>
        <v/>
      </c>
      <c r="C294" s="31">
        <f>IF(A294="","",会员档案!$D294)</f>
        <v/>
      </c>
      <c r="D294" s="31">
        <f>IF(A294="","",会员档案!$F294)</f>
        <v/>
      </c>
      <c r="E294" s="58">
        <f>IF(A294="","",会员档案!$S294)</f>
        <v/>
      </c>
      <c r="F294" s="31">
        <f>IF(A294="","",会员档案!$T294)</f>
        <v/>
      </c>
      <c r="G294" s="31">
        <f>IF(A294="","",会员档案!$O294)</f>
        <v/>
      </c>
      <c r="H294" s="31">
        <f>IF(A294="","",会员档案!$P294)</f>
        <v/>
      </c>
      <c r="I294" s="55" t="n"/>
      <c r="J294" s="11" t="n"/>
      <c r="K294" s="11" t="n"/>
    </row>
    <row r="295">
      <c r="A295" s="31">
        <f>IF(会员档案!$U295="沉睡客户",会员档案!$A295,"")</f>
        <v/>
      </c>
      <c r="B295" s="31">
        <f>IF(A295="","",会员档案!$B295)</f>
        <v/>
      </c>
      <c r="C295" s="31">
        <f>IF(A295="","",会员档案!$D295)</f>
        <v/>
      </c>
      <c r="D295" s="31">
        <f>IF(A295="","",会员档案!$F295)</f>
        <v/>
      </c>
      <c r="E295" s="58">
        <f>IF(A295="","",会员档案!$S295)</f>
        <v/>
      </c>
      <c r="F295" s="31">
        <f>IF(A295="","",会员档案!$T295)</f>
        <v/>
      </c>
      <c r="G295" s="31">
        <f>IF(A295="","",会员档案!$O295)</f>
        <v/>
      </c>
      <c r="H295" s="31">
        <f>IF(A295="","",会员档案!$P295)</f>
        <v/>
      </c>
      <c r="I295" s="55" t="n"/>
      <c r="J295" s="11" t="n"/>
      <c r="K295" s="11" t="n"/>
    </row>
    <row r="296">
      <c r="A296" s="31">
        <f>IF(会员档案!$U296="沉睡客户",会员档案!$A296,"")</f>
        <v/>
      </c>
      <c r="B296" s="31">
        <f>IF(A296="","",会员档案!$B296)</f>
        <v/>
      </c>
      <c r="C296" s="31">
        <f>IF(A296="","",会员档案!$D296)</f>
        <v/>
      </c>
      <c r="D296" s="31">
        <f>IF(A296="","",会员档案!$F296)</f>
        <v/>
      </c>
      <c r="E296" s="58">
        <f>IF(A296="","",会员档案!$S296)</f>
        <v/>
      </c>
      <c r="F296" s="31">
        <f>IF(A296="","",会员档案!$T296)</f>
        <v/>
      </c>
      <c r="G296" s="31">
        <f>IF(A296="","",会员档案!$O296)</f>
        <v/>
      </c>
      <c r="H296" s="31">
        <f>IF(A296="","",会员档案!$P296)</f>
        <v/>
      </c>
      <c r="I296" s="55" t="n"/>
      <c r="J296" s="11" t="n"/>
      <c r="K296" s="11" t="n"/>
    </row>
    <row r="297">
      <c r="A297" s="31">
        <f>IF(会员档案!$U297="沉睡客户",会员档案!$A297,"")</f>
        <v/>
      </c>
      <c r="B297" s="31">
        <f>IF(A297="","",会员档案!$B297)</f>
        <v/>
      </c>
      <c r="C297" s="31">
        <f>IF(A297="","",会员档案!$D297)</f>
        <v/>
      </c>
      <c r="D297" s="31">
        <f>IF(A297="","",会员档案!$F297)</f>
        <v/>
      </c>
      <c r="E297" s="58">
        <f>IF(A297="","",会员档案!$S297)</f>
        <v/>
      </c>
      <c r="F297" s="31">
        <f>IF(A297="","",会员档案!$T297)</f>
        <v/>
      </c>
      <c r="G297" s="31">
        <f>IF(A297="","",会员档案!$O297)</f>
        <v/>
      </c>
      <c r="H297" s="31">
        <f>IF(A297="","",会员档案!$P297)</f>
        <v/>
      </c>
      <c r="I297" s="55" t="n"/>
      <c r="J297" s="11" t="n"/>
      <c r="K297" s="11" t="n"/>
    </row>
    <row r="298">
      <c r="A298" s="31">
        <f>IF(会员档案!$U298="沉睡客户",会员档案!$A298,"")</f>
        <v/>
      </c>
      <c r="B298" s="31">
        <f>IF(A298="","",会员档案!$B298)</f>
        <v/>
      </c>
      <c r="C298" s="31">
        <f>IF(A298="","",会员档案!$D298)</f>
        <v/>
      </c>
      <c r="D298" s="31">
        <f>IF(A298="","",会员档案!$F298)</f>
        <v/>
      </c>
      <c r="E298" s="58">
        <f>IF(A298="","",会员档案!$S298)</f>
        <v/>
      </c>
      <c r="F298" s="31">
        <f>IF(A298="","",会员档案!$T298)</f>
        <v/>
      </c>
      <c r="G298" s="31">
        <f>IF(A298="","",会员档案!$O298)</f>
        <v/>
      </c>
      <c r="H298" s="31">
        <f>IF(A298="","",会员档案!$P298)</f>
        <v/>
      </c>
      <c r="I298" s="55" t="n"/>
      <c r="J298" s="11" t="n"/>
      <c r="K298" s="11" t="n"/>
    </row>
    <row r="299">
      <c r="A299" s="31">
        <f>IF(会员档案!$U299="沉睡客户",会员档案!$A299,"")</f>
        <v/>
      </c>
      <c r="B299" s="31">
        <f>IF(A299="","",会员档案!$B299)</f>
        <v/>
      </c>
      <c r="C299" s="31">
        <f>IF(A299="","",会员档案!$D299)</f>
        <v/>
      </c>
      <c r="D299" s="31">
        <f>IF(A299="","",会员档案!$F299)</f>
        <v/>
      </c>
      <c r="E299" s="58">
        <f>IF(A299="","",会员档案!$S299)</f>
        <v/>
      </c>
      <c r="F299" s="31">
        <f>IF(A299="","",会员档案!$T299)</f>
        <v/>
      </c>
      <c r="G299" s="31">
        <f>IF(A299="","",会员档案!$O299)</f>
        <v/>
      </c>
      <c r="H299" s="31">
        <f>IF(A299="","",会员档案!$P299)</f>
        <v/>
      </c>
      <c r="I299" s="55" t="n"/>
      <c r="J299" s="11" t="n"/>
      <c r="K299" s="11" t="n"/>
    </row>
    <row r="300">
      <c r="A300" s="31">
        <f>IF(会员档案!$U300="沉睡客户",会员档案!$A300,"")</f>
        <v/>
      </c>
      <c r="B300" s="31">
        <f>IF(A300="","",会员档案!$B300)</f>
        <v/>
      </c>
      <c r="C300" s="31">
        <f>IF(A300="","",会员档案!$D300)</f>
        <v/>
      </c>
      <c r="D300" s="31">
        <f>IF(A300="","",会员档案!$F300)</f>
        <v/>
      </c>
      <c r="E300" s="58">
        <f>IF(A300="","",会员档案!$S300)</f>
        <v/>
      </c>
      <c r="F300" s="31">
        <f>IF(A300="","",会员档案!$T300)</f>
        <v/>
      </c>
      <c r="G300" s="31">
        <f>IF(A300="","",会员档案!$O300)</f>
        <v/>
      </c>
      <c r="H300" s="31">
        <f>IF(A300="","",会员档案!$P300)</f>
        <v/>
      </c>
      <c r="I300" s="55" t="n"/>
      <c r="J300" s="11" t="n"/>
      <c r="K300" s="11" t="n"/>
    </row>
    <row r="301">
      <c r="A301" s="31">
        <f>IF(会员档案!$U301="沉睡客户",会员档案!$A301,"")</f>
        <v/>
      </c>
      <c r="B301" s="31">
        <f>IF(A301="","",会员档案!$B301)</f>
        <v/>
      </c>
      <c r="C301" s="31">
        <f>IF(A301="","",会员档案!$D301)</f>
        <v/>
      </c>
      <c r="D301" s="31">
        <f>IF(A301="","",会员档案!$F301)</f>
        <v/>
      </c>
      <c r="E301" s="58">
        <f>IF(A301="","",会员档案!$S301)</f>
        <v/>
      </c>
      <c r="F301" s="31">
        <f>IF(A301="","",会员档案!$T301)</f>
        <v/>
      </c>
      <c r="G301" s="31">
        <f>IF(A301="","",会员档案!$O301)</f>
        <v/>
      </c>
      <c r="H301" s="31">
        <f>IF(A301="","",会员档案!$P301)</f>
        <v/>
      </c>
      <c r="I301" s="55" t="n"/>
      <c r="J301" s="11" t="n"/>
      <c r="K301" s="11" t="n"/>
    </row>
    <row r="302">
      <c r="A302" s="31">
        <f>IF(会员档案!$U302="沉睡客户",会员档案!$A302,"")</f>
        <v/>
      </c>
      <c r="B302" s="31">
        <f>IF(A302="","",会员档案!$B302)</f>
        <v/>
      </c>
      <c r="C302" s="31">
        <f>IF(A302="","",会员档案!$D302)</f>
        <v/>
      </c>
      <c r="D302" s="31">
        <f>IF(A302="","",会员档案!$F302)</f>
        <v/>
      </c>
      <c r="E302" s="58">
        <f>IF(A302="","",会员档案!$S302)</f>
        <v/>
      </c>
      <c r="F302" s="31">
        <f>IF(A302="","",会员档案!$T302)</f>
        <v/>
      </c>
      <c r="G302" s="31">
        <f>IF(A302="","",会员档案!$O302)</f>
        <v/>
      </c>
      <c r="H302" s="31">
        <f>IF(A302="","",会员档案!$P302)</f>
        <v/>
      </c>
      <c r="I302" s="55" t="n"/>
      <c r="J302" s="11" t="n"/>
      <c r="K302" s="11" t="n"/>
    </row>
    <row r="303">
      <c r="A303" s="31">
        <f>IF(会员档案!$U303="沉睡客户",会员档案!$A303,"")</f>
        <v/>
      </c>
      <c r="B303" s="31">
        <f>IF(A303="","",会员档案!$B303)</f>
        <v/>
      </c>
      <c r="C303" s="31">
        <f>IF(A303="","",会员档案!$D303)</f>
        <v/>
      </c>
      <c r="D303" s="31">
        <f>IF(A303="","",会员档案!$F303)</f>
        <v/>
      </c>
      <c r="E303" s="58">
        <f>IF(A303="","",会员档案!$S303)</f>
        <v/>
      </c>
      <c r="F303" s="31">
        <f>IF(A303="","",会员档案!$T303)</f>
        <v/>
      </c>
      <c r="G303" s="31">
        <f>IF(A303="","",会员档案!$O303)</f>
        <v/>
      </c>
      <c r="H303" s="31">
        <f>IF(A303="","",会员档案!$P303)</f>
        <v/>
      </c>
      <c r="I303" s="55" t="n"/>
      <c r="J303" s="11" t="n"/>
      <c r="K303" s="11" t="n"/>
    </row>
    <row r="304">
      <c r="A304" s="31">
        <f>IF(会员档案!$U304="沉睡客户",会员档案!$A304,"")</f>
        <v/>
      </c>
      <c r="B304" s="31">
        <f>IF(A304="","",会员档案!$B304)</f>
        <v/>
      </c>
      <c r="C304" s="31">
        <f>IF(A304="","",会员档案!$D304)</f>
        <v/>
      </c>
      <c r="D304" s="31">
        <f>IF(A304="","",会员档案!$F304)</f>
        <v/>
      </c>
      <c r="E304" s="58">
        <f>IF(A304="","",会员档案!$S304)</f>
        <v/>
      </c>
      <c r="F304" s="31">
        <f>IF(A304="","",会员档案!$T304)</f>
        <v/>
      </c>
      <c r="G304" s="31">
        <f>IF(A304="","",会员档案!$O304)</f>
        <v/>
      </c>
      <c r="H304" s="31">
        <f>IF(A304="","",会员档案!$P304)</f>
        <v/>
      </c>
      <c r="I304" s="55" t="n"/>
      <c r="J304" s="11" t="n"/>
      <c r="K304" s="11" t="n"/>
    </row>
    <row r="305">
      <c r="A305" s="31">
        <f>IF(会员档案!$U305="沉睡客户",会员档案!$A305,"")</f>
        <v/>
      </c>
      <c r="B305" s="31">
        <f>IF(A305="","",会员档案!$B305)</f>
        <v/>
      </c>
      <c r="C305" s="31">
        <f>IF(A305="","",会员档案!$D305)</f>
        <v/>
      </c>
      <c r="D305" s="31">
        <f>IF(A305="","",会员档案!$F305)</f>
        <v/>
      </c>
      <c r="E305" s="58">
        <f>IF(A305="","",会员档案!$S305)</f>
        <v/>
      </c>
      <c r="F305" s="31">
        <f>IF(A305="","",会员档案!$T305)</f>
        <v/>
      </c>
      <c r="G305" s="31">
        <f>IF(A305="","",会员档案!$O305)</f>
        <v/>
      </c>
      <c r="H305" s="31">
        <f>IF(A305="","",会员档案!$P305)</f>
        <v/>
      </c>
      <c r="I305" s="55" t="n"/>
      <c r="J305" s="11" t="n"/>
      <c r="K305" s="11" t="n"/>
    </row>
    <row r="306">
      <c r="A306" s="31">
        <f>IF(会员档案!$U306="沉睡客户",会员档案!$A306,"")</f>
        <v/>
      </c>
      <c r="B306" s="31">
        <f>IF(A306="","",会员档案!$B306)</f>
        <v/>
      </c>
      <c r="C306" s="31">
        <f>IF(A306="","",会员档案!$D306)</f>
        <v/>
      </c>
      <c r="D306" s="31">
        <f>IF(A306="","",会员档案!$F306)</f>
        <v/>
      </c>
      <c r="E306" s="58">
        <f>IF(A306="","",会员档案!$S306)</f>
        <v/>
      </c>
      <c r="F306" s="31">
        <f>IF(A306="","",会员档案!$T306)</f>
        <v/>
      </c>
      <c r="G306" s="31">
        <f>IF(A306="","",会员档案!$O306)</f>
        <v/>
      </c>
      <c r="H306" s="31">
        <f>IF(A306="","",会员档案!$P306)</f>
        <v/>
      </c>
      <c r="I306" s="55" t="n"/>
      <c r="J306" s="11" t="n"/>
      <c r="K306" s="11" t="n"/>
    </row>
    <row r="307">
      <c r="A307" s="31">
        <f>IF(会员档案!$U307="沉睡客户",会员档案!$A307,"")</f>
        <v/>
      </c>
      <c r="B307" s="31">
        <f>IF(A307="","",会员档案!$B307)</f>
        <v/>
      </c>
      <c r="C307" s="31">
        <f>IF(A307="","",会员档案!$D307)</f>
        <v/>
      </c>
      <c r="D307" s="31">
        <f>IF(A307="","",会员档案!$F307)</f>
        <v/>
      </c>
      <c r="E307" s="58">
        <f>IF(A307="","",会员档案!$S307)</f>
        <v/>
      </c>
      <c r="F307" s="31">
        <f>IF(A307="","",会员档案!$T307)</f>
        <v/>
      </c>
      <c r="G307" s="31">
        <f>IF(A307="","",会员档案!$O307)</f>
        <v/>
      </c>
      <c r="H307" s="31">
        <f>IF(A307="","",会员档案!$P307)</f>
        <v/>
      </c>
      <c r="I307" s="55" t="n"/>
      <c r="J307" s="11" t="n"/>
      <c r="K307" s="11" t="n"/>
    </row>
    <row r="308">
      <c r="A308" s="31">
        <f>IF(会员档案!$U308="沉睡客户",会员档案!$A308,"")</f>
        <v/>
      </c>
      <c r="B308" s="31">
        <f>IF(A308="","",会员档案!$B308)</f>
        <v/>
      </c>
      <c r="C308" s="31">
        <f>IF(A308="","",会员档案!$D308)</f>
        <v/>
      </c>
      <c r="D308" s="31">
        <f>IF(A308="","",会员档案!$F308)</f>
        <v/>
      </c>
      <c r="E308" s="58">
        <f>IF(A308="","",会员档案!$S308)</f>
        <v/>
      </c>
      <c r="F308" s="31">
        <f>IF(A308="","",会员档案!$T308)</f>
        <v/>
      </c>
      <c r="G308" s="31">
        <f>IF(A308="","",会员档案!$O308)</f>
        <v/>
      </c>
      <c r="H308" s="31">
        <f>IF(A308="","",会员档案!$P308)</f>
        <v/>
      </c>
      <c r="I308" s="55" t="n"/>
      <c r="J308" s="11" t="n"/>
      <c r="K308" s="11" t="n"/>
    </row>
    <row r="309">
      <c r="A309" s="31">
        <f>IF(会员档案!$U309="沉睡客户",会员档案!$A309,"")</f>
        <v/>
      </c>
      <c r="B309" s="31">
        <f>IF(A309="","",会员档案!$B309)</f>
        <v/>
      </c>
      <c r="C309" s="31">
        <f>IF(A309="","",会员档案!$D309)</f>
        <v/>
      </c>
      <c r="D309" s="31">
        <f>IF(A309="","",会员档案!$F309)</f>
        <v/>
      </c>
      <c r="E309" s="58">
        <f>IF(A309="","",会员档案!$S309)</f>
        <v/>
      </c>
      <c r="F309" s="31">
        <f>IF(A309="","",会员档案!$T309)</f>
        <v/>
      </c>
      <c r="G309" s="31">
        <f>IF(A309="","",会员档案!$O309)</f>
        <v/>
      </c>
      <c r="H309" s="31">
        <f>IF(A309="","",会员档案!$P309)</f>
        <v/>
      </c>
      <c r="I309" s="55" t="n"/>
      <c r="J309" s="11" t="n"/>
      <c r="K309" s="11" t="n"/>
    </row>
    <row r="310">
      <c r="A310" s="31">
        <f>IF(会员档案!$U310="沉睡客户",会员档案!$A310,"")</f>
        <v/>
      </c>
      <c r="B310" s="31">
        <f>IF(A310="","",会员档案!$B310)</f>
        <v/>
      </c>
      <c r="C310" s="31">
        <f>IF(A310="","",会员档案!$D310)</f>
        <v/>
      </c>
      <c r="D310" s="31">
        <f>IF(A310="","",会员档案!$F310)</f>
        <v/>
      </c>
      <c r="E310" s="58">
        <f>IF(A310="","",会员档案!$S310)</f>
        <v/>
      </c>
      <c r="F310" s="31">
        <f>IF(A310="","",会员档案!$T310)</f>
        <v/>
      </c>
      <c r="G310" s="31">
        <f>IF(A310="","",会员档案!$O310)</f>
        <v/>
      </c>
      <c r="H310" s="31">
        <f>IF(A310="","",会员档案!$P310)</f>
        <v/>
      </c>
      <c r="I310" s="55" t="n"/>
      <c r="J310" s="11" t="n"/>
      <c r="K310" s="11" t="n"/>
    </row>
    <row r="311">
      <c r="A311" s="31">
        <f>IF(会员档案!$U311="沉睡客户",会员档案!$A311,"")</f>
        <v/>
      </c>
      <c r="B311" s="31">
        <f>IF(A311="","",会员档案!$B311)</f>
        <v/>
      </c>
      <c r="C311" s="31">
        <f>IF(A311="","",会员档案!$D311)</f>
        <v/>
      </c>
      <c r="D311" s="31">
        <f>IF(A311="","",会员档案!$F311)</f>
        <v/>
      </c>
      <c r="E311" s="58">
        <f>IF(A311="","",会员档案!$S311)</f>
        <v/>
      </c>
      <c r="F311" s="31">
        <f>IF(A311="","",会员档案!$T311)</f>
        <v/>
      </c>
      <c r="G311" s="31">
        <f>IF(A311="","",会员档案!$O311)</f>
        <v/>
      </c>
      <c r="H311" s="31">
        <f>IF(A311="","",会员档案!$P311)</f>
        <v/>
      </c>
      <c r="I311" s="55" t="n"/>
      <c r="J311" s="11" t="n"/>
      <c r="K311" s="11" t="n"/>
    </row>
    <row r="312">
      <c r="A312" s="31">
        <f>IF(会员档案!$U312="沉睡客户",会员档案!$A312,"")</f>
        <v/>
      </c>
      <c r="B312" s="31">
        <f>IF(A312="","",会员档案!$B312)</f>
        <v/>
      </c>
      <c r="C312" s="31">
        <f>IF(A312="","",会员档案!$D312)</f>
        <v/>
      </c>
      <c r="D312" s="31">
        <f>IF(A312="","",会员档案!$F312)</f>
        <v/>
      </c>
      <c r="E312" s="58">
        <f>IF(A312="","",会员档案!$S312)</f>
        <v/>
      </c>
      <c r="F312" s="31">
        <f>IF(A312="","",会员档案!$T312)</f>
        <v/>
      </c>
      <c r="G312" s="31">
        <f>IF(A312="","",会员档案!$O312)</f>
        <v/>
      </c>
      <c r="H312" s="31">
        <f>IF(A312="","",会员档案!$P312)</f>
        <v/>
      </c>
      <c r="I312" s="55" t="n"/>
      <c r="J312" s="11" t="n"/>
      <c r="K312" s="11" t="n"/>
    </row>
    <row r="313">
      <c r="A313" s="31">
        <f>IF(会员档案!$U313="沉睡客户",会员档案!$A313,"")</f>
        <v/>
      </c>
      <c r="B313" s="31">
        <f>IF(A313="","",会员档案!$B313)</f>
        <v/>
      </c>
      <c r="C313" s="31">
        <f>IF(A313="","",会员档案!$D313)</f>
        <v/>
      </c>
      <c r="D313" s="31">
        <f>IF(A313="","",会员档案!$F313)</f>
        <v/>
      </c>
      <c r="E313" s="58">
        <f>IF(A313="","",会员档案!$S313)</f>
        <v/>
      </c>
      <c r="F313" s="31">
        <f>IF(A313="","",会员档案!$T313)</f>
        <v/>
      </c>
      <c r="G313" s="31">
        <f>IF(A313="","",会员档案!$O313)</f>
        <v/>
      </c>
      <c r="H313" s="31">
        <f>IF(A313="","",会员档案!$P313)</f>
        <v/>
      </c>
      <c r="I313" s="55" t="n"/>
      <c r="J313" s="11" t="n"/>
      <c r="K313" s="11" t="n"/>
    </row>
    <row r="314">
      <c r="A314" s="31">
        <f>IF(会员档案!$U314="沉睡客户",会员档案!$A314,"")</f>
        <v/>
      </c>
      <c r="B314" s="31">
        <f>IF(A314="","",会员档案!$B314)</f>
        <v/>
      </c>
      <c r="C314" s="31">
        <f>IF(A314="","",会员档案!$D314)</f>
        <v/>
      </c>
      <c r="D314" s="31">
        <f>IF(A314="","",会员档案!$F314)</f>
        <v/>
      </c>
      <c r="E314" s="58">
        <f>IF(A314="","",会员档案!$S314)</f>
        <v/>
      </c>
      <c r="F314" s="31">
        <f>IF(A314="","",会员档案!$T314)</f>
        <v/>
      </c>
      <c r="G314" s="31">
        <f>IF(A314="","",会员档案!$O314)</f>
        <v/>
      </c>
      <c r="H314" s="31">
        <f>IF(A314="","",会员档案!$P314)</f>
        <v/>
      </c>
      <c r="I314" s="55" t="n"/>
      <c r="J314" s="11" t="n"/>
      <c r="K314" s="11" t="n"/>
    </row>
    <row r="315">
      <c r="A315" s="31">
        <f>IF(会员档案!$U315="沉睡客户",会员档案!$A315,"")</f>
        <v/>
      </c>
      <c r="B315" s="31">
        <f>IF(A315="","",会员档案!$B315)</f>
        <v/>
      </c>
      <c r="C315" s="31">
        <f>IF(A315="","",会员档案!$D315)</f>
        <v/>
      </c>
      <c r="D315" s="31">
        <f>IF(A315="","",会员档案!$F315)</f>
        <v/>
      </c>
      <c r="E315" s="58">
        <f>IF(A315="","",会员档案!$S315)</f>
        <v/>
      </c>
      <c r="F315" s="31">
        <f>IF(A315="","",会员档案!$T315)</f>
        <v/>
      </c>
      <c r="G315" s="31">
        <f>IF(A315="","",会员档案!$O315)</f>
        <v/>
      </c>
      <c r="H315" s="31">
        <f>IF(A315="","",会员档案!$P315)</f>
        <v/>
      </c>
      <c r="I315" s="55" t="n"/>
      <c r="J315" s="11" t="n"/>
      <c r="K315" s="11" t="n"/>
    </row>
    <row r="316">
      <c r="A316" s="31">
        <f>IF(会员档案!$U316="沉睡客户",会员档案!$A316,"")</f>
        <v/>
      </c>
      <c r="B316" s="31">
        <f>IF(A316="","",会员档案!$B316)</f>
        <v/>
      </c>
      <c r="C316" s="31">
        <f>IF(A316="","",会员档案!$D316)</f>
        <v/>
      </c>
      <c r="D316" s="31">
        <f>IF(A316="","",会员档案!$F316)</f>
        <v/>
      </c>
      <c r="E316" s="58">
        <f>IF(A316="","",会员档案!$S316)</f>
        <v/>
      </c>
      <c r="F316" s="31">
        <f>IF(A316="","",会员档案!$T316)</f>
        <v/>
      </c>
      <c r="G316" s="31">
        <f>IF(A316="","",会员档案!$O316)</f>
        <v/>
      </c>
      <c r="H316" s="31">
        <f>IF(A316="","",会员档案!$P316)</f>
        <v/>
      </c>
      <c r="I316" s="55" t="n"/>
      <c r="J316" s="11" t="n"/>
      <c r="K316" s="11" t="n"/>
    </row>
    <row r="317">
      <c r="A317" s="31">
        <f>IF(会员档案!$U317="沉睡客户",会员档案!$A317,"")</f>
        <v/>
      </c>
      <c r="B317" s="31">
        <f>IF(A317="","",会员档案!$B317)</f>
        <v/>
      </c>
      <c r="C317" s="31">
        <f>IF(A317="","",会员档案!$D317)</f>
        <v/>
      </c>
      <c r="D317" s="31">
        <f>IF(A317="","",会员档案!$F317)</f>
        <v/>
      </c>
      <c r="E317" s="58">
        <f>IF(A317="","",会员档案!$S317)</f>
        <v/>
      </c>
      <c r="F317" s="31">
        <f>IF(A317="","",会员档案!$T317)</f>
        <v/>
      </c>
      <c r="G317" s="31">
        <f>IF(A317="","",会员档案!$O317)</f>
        <v/>
      </c>
      <c r="H317" s="31">
        <f>IF(A317="","",会员档案!$P317)</f>
        <v/>
      </c>
      <c r="I317" s="55" t="n"/>
      <c r="J317" s="11" t="n"/>
      <c r="K317" s="11" t="n"/>
    </row>
    <row r="318">
      <c r="A318" s="31">
        <f>IF(会员档案!$U318="沉睡客户",会员档案!$A318,"")</f>
        <v/>
      </c>
      <c r="B318" s="31">
        <f>IF(A318="","",会员档案!$B318)</f>
        <v/>
      </c>
      <c r="C318" s="31">
        <f>IF(A318="","",会员档案!$D318)</f>
        <v/>
      </c>
      <c r="D318" s="31">
        <f>IF(A318="","",会员档案!$F318)</f>
        <v/>
      </c>
      <c r="E318" s="58">
        <f>IF(A318="","",会员档案!$S318)</f>
        <v/>
      </c>
      <c r="F318" s="31">
        <f>IF(A318="","",会员档案!$T318)</f>
        <v/>
      </c>
      <c r="G318" s="31">
        <f>IF(A318="","",会员档案!$O318)</f>
        <v/>
      </c>
      <c r="H318" s="31">
        <f>IF(A318="","",会员档案!$P318)</f>
        <v/>
      </c>
      <c r="I318" s="55" t="n"/>
      <c r="J318" s="11" t="n"/>
      <c r="K318" s="11" t="n"/>
    </row>
    <row r="319">
      <c r="A319" s="31">
        <f>IF(会员档案!$U319="沉睡客户",会员档案!$A319,"")</f>
        <v/>
      </c>
      <c r="B319" s="31">
        <f>IF(A319="","",会员档案!$B319)</f>
        <v/>
      </c>
      <c r="C319" s="31">
        <f>IF(A319="","",会员档案!$D319)</f>
        <v/>
      </c>
      <c r="D319" s="31">
        <f>IF(A319="","",会员档案!$F319)</f>
        <v/>
      </c>
      <c r="E319" s="58">
        <f>IF(A319="","",会员档案!$S319)</f>
        <v/>
      </c>
      <c r="F319" s="31">
        <f>IF(A319="","",会员档案!$T319)</f>
        <v/>
      </c>
      <c r="G319" s="31">
        <f>IF(A319="","",会员档案!$O319)</f>
        <v/>
      </c>
      <c r="H319" s="31">
        <f>IF(A319="","",会员档案!$P319)</f>
        <v/>
      </c>
      <c r="I319" s="55" t="n"/>
      <c r="J319" s="11" t="n"/>
      <c r="K319" s="11" t="n"/>
    </row>
    <row r="320">
      <c r="A320" s="31">
        <f>IF(会员档案!$U320="沉睡客户",会员档案!$A320,"")</f>
        <v/>
      </c>
      <c r="B320" s="31">
        <f>IF(A320="","",会员档案!$B320)</f>
        <v/>
      </c>
      <c r="C320" s="31">
        <f>IF(A320="","",会员档案!$D320)</f>
        <v/>
      </c>
      <c r="D320" s="31">
        <f>IF(A320="","",会员档案!$F320)</f>
        <v/>
      </c>
      <c r="E320" s="58">
        <f>IF(A320="","",会员档案!$S320)</f>
        <v/>
      </c>
      <c r="F320" s="31">
        <f>IF(A320="","",会员档案!$T320)</f>
        <v/>
      </c>
      <c r="G320" s="31">
        <f>IF(A320="","",会员档案!$O320)</f>
        <v/>
      </c>
      <c r="H320" s="31">
        <f>IF(A320="","",会员档案!$P320)</f>
        <v/>
      </c>
      <c r="I320" s="55" t="n"/>
      <c r="J320" s="11" t="n"/>
      <c r="K320" s="11" t="n"/>
    </row>
    <row r="321">
      <c r="A321" s="31">
        <f>IF(会员档案!$U321="沉睡客户",会员档案!$A321,"")</f>
        <v/>
      </c>
      <c r="B321" s="31">
        <f>IF(A321="","",会员档案!$B321)</f>
        <v/>
      </c>
      <c r="C321" s="31">
        <f>IF(A321="","",会员档案!$D321)</f>
        <v/>
      </c>
      <c r="D321" s="31">
        <f>IF(A321="","",会员档案!$F321)</f>
        <v/>
      </c>
      <c r="E321" s="58">
        <f>IF(A321="","",会员档案!$S321)</f>
        <v/>
      </c>
      <c r="F321" s="31">
        <f>IF(A321="","",会员档案!$T321)</f>
        <v/>
      </c>
      <c r="G321" s="31">
        <f>IF(A321="","",会员档案!$O321)</f>
        <v/>
      </c>
      <c r="H321" s="31">
        <f>IF(A321="","",会员档案!$P321)</f>
        <v/>
      </c>
      <c r="I321" s="55" t="n"/>
      <c r="J321" s="11" t="n"/>
      <c r="K321" s="11" t="n"/>
    </row>
    <row r="322">
      <c r="A322" s="31">
        <f>IF(会员档案!$U322="沉睡客户",会员档案!$A322,"")</f>
        <v/>
      </c>
      <c r="B322" s="31">
        <f>IF(A322="","",会员档案!$B322)</f>
        <v/>
      </c>
      <c r="C322" s="31">
        <f>IF(A322="","",会员档案!$D322)</f>
        <v/>
      </c>
      <c r="D322" s="31">
        <f>IF(A322="","",会员档案!$F322)</f>
        <v/>
      </c>
      <c r="E322" s="58">
        <f>IF(A322="","",会员档案!$S322)</f>
        <v/>
      </c>
      <c r="F322" s="31">
        <f>IF(A322="","",会员档案!$T322)</f>
        <v/>
      </c>
      <c r="G322" s="31">
        <f>IF(A322="","",会员档案!$O322)</f>
        <v/>
      </c>
      <c r="H322" s="31">
        <f>IF(A322="","",会员档案!$P322)</f>
        <v/>
      </c>
      <c r="I322" s="55" t="n"/>
      <c r="J322" s="11" t="n"/>
      <c r="K322" s="11" t="n"/>
    </row>
    <row r="323">
      <c r="A323" s="31">
        <f>IF(会员档案!$U323="沉睡客户",会员档案!$A323,"")</f>
        <v/>
      </c>
      <c r="B323" s="31">
        <f>IF(A323="","",会员档案!$B323)</f>
        <v/>
      </c>
      <c r="C323" s="31">
        <f>IF(A323="","",会员档案!$D323)</f>
        <v/>
      </c>
      <c r="D323" s="31">
        <f>IF(A323="","",会员档案!$F323)</f>
        <v/>
      </c>
      <c r="E323" s="58">
        <f>IF(A323="","",会员档案!$S323)</f>
        <v/>
      </c>
      <c r="F323" s="31">
        <f>IF(A323="","",会员档案!$T323)</f>
        <v/>
      </c>
      <c r="G323" s="31">
        <f>IF(A323="","",会员档案!$O323)</f>
        <v/>
      </c>
      <c r="H323" s="31">
        <f>IF(A323="","",会员档案!$P323)</f>
        <v/>
      </c>
      <c r="I323" s="55" t="n"/>
      <c r="J323" s="11" t="n"/>
      <c r="K323" s="11" t="n"/>
    </row>
    <row r="324">
      <c r="A324" s="31">
        <f>IF(会员档案!$U324="沉睡客户",会员档案!$A324,"")</f>
        <v/>
      </c>
      <c r="B324" s="31">
        <f>IF(A324="","",会员档案!$B324)</f>
        <v/>
      </c>
      <c r="C324" s="31">
        <f>IF(A324="","",会员档案!$D324)</f>
        <v/>
      </c>
      <c r="D324" s="31">
        <f>IF(A324="","",会员档案!$F324)</f>
        <v/>
      </c>
      <c r="E324" s="58">
        <f>IF(A324="","",会员档案!$S324)</f>
        <v/>
      </c>
      <c r="F324" s="31">
        <f>IF(A324="","",会员档案!$T324)</f>
        <v/>
      </c>
      <c r="G324" s="31">
        <f>IF(A324="","",会员档案!$O324)</f>
        <v/>
      </c>
      <c r="H324" s="31">
        <f>IF(A324="","",会员档案!$P324)</f>
        <v/>
      </c>
      <c r="I324" s="55" t="n"/>
      <c r="J324" s="11" t="n"/>
      <c r="K324" s="11" t="n"/>
    </row>
    <row r="325">
      <c r="A325" s="31">
        <f>IF(会员档案!$U325="沉睡客户",会员档案!$A325,"")</f>
        <v/>
      </c>
      <c r="B325" s="31">
        <f>IF(A325="","",会员档案!$B325)</f>
        <v/>
      </c>
      <c r="C325" s="31">
        <f>IF(A325="","",会员档案!$D325)</f>
        <v/>
      </c>
      <c r="D325" s="31">
        <f>IF(A325="","",会员档案!$F325)</f>
        <v/>
      </c>
      <c r="E325" s="58">
        <f>IF(A325="","",会员档案!$S325)</f>
        <v/>
      </c>
      <c r="F325" s="31">
        <f>IF(A325="","",会员档案!$T325)</f>
        <v/>
      </c>
      <c r="G325" s="31">
        <f>IF(A325="","",会员档案!$O325)</f>
        <v/>
      </c>
      <c r="H325" s="31">
        <f>IF(A325="","",会员档案!$P325)</f>
        <v/>
      </c>
      <c r="I325" s="55" t="n"/>
      <c r="J325" s="11" t="n"/>
      <c r="K325" s="11" t="n"/>
    </row>
    <row r="326">
      <c r="A326" s="31">
        <f>IF(会员档案!$U326="沉睡客户",会员档案!$A326,"")</f>
        <v/>
      </c>
      <c r="B326" s="31">
        <f>IF(A326="","",会员档案!$B326)</f>
        <v/>
      </c>
      <c r="C326" s="31">
        <f>IF(A326="","",会员档案!$D326)</f>
        <v/>
      </c>
      <c r="D326" s="31">
        <f>IF(A326="","",会员档案!$F326)</f>
        <v/>
      </c>
      <c r="E326" s="58">
        <f>IF(A326="","",会员档案!$S326)</f>
        <v/>
      </c>
      <c r="F326" s="31">
        <f>IF(A326="","",会员档案!$T326)</f>
        <v/>
      </c>
      <c r="G326" s="31">
        <f>IF(A326="","",会员档案!$O326)</f>
        <v/>
      </c>
      <c r="H326" s="31">
        <f>IF(A326="","",会员档案!$P326)</f>
        <v/>
      </c>
      <c r="I326" s="55" t="n"/>
      <c r="J326" s="11" t="n"/>
      <c r="K326" s="11" t="n"/>
    </row>
    <row r="327">
      <c r="A327" s="31">
        <f>IF(会员档案!$U327="沉睡客户",会员档案!$A327,"")</f>
        <v/>
      </c>
      <c r="B327" s="31">
        <f>IF(A327="","",会员档案!$B327)</f>
        <v/>
      </c>
      <c r="C327" s="31">
        <f>IF(A327="","",会员档案!$D327)</f>
        <v/>
      </c>
      <c r="D327" s="31">
        <f>IF(A327="","",会员档案!$F327)</f>
        <v/>
      </c>
      <c r="E327" s="58">
        <f>IF(A327="","",会员档案!$S327)</f>
        <v/>
      </c>
      <c r="F327" s="31">
        <f>IF(A327="","",会员档案!$T327)</f>
        <v/>
      </c>
      <c r="G327" s="31">
        <f>IF(A327="","",会员档案!$O327)</f>
        <v/>
      </c>
      <c r="H327" s="31">
        <f>IF(A327="","",会员档案!$P327)</f>
        <v/>
      </c>
      <c r="I327" s="55" t="n"/>
      <c r="J327" s="11" t="n"/>
      <c r="K327" s="11" t="n"/>
    </row>
    <row r="328">
      <c r="A328" s="31">
        <f>IF(会员档案!$U328="沉睡客户",会员档案!$A328,"")</f>
        <v/>
      </c>
      <c r="B328" s="31">
        <f>IF(A328="","",会员档案!$B328)</f>
        <v/>
      </c>
      <c r="C328" s="31">
        <f>IF(A328="","",会员档案!$D328)</f>
        <v/>
      </c>
      <c r="D328" s="31">
        <f>IF(A328="","",会员档案!$F328)</f>
        <v/>
      </c>
      <c r="E328" s="58">
        <f>IF(A328="","",会员档案!$S328)</f>
        <v/>
      </c>
      <c r="F328" s="31">
        <f>IF(A328="","",会员档案!$T328)</f>
        <v/>
      </c>
      <c r="G328" s="31">
        <f>IF(A328="","",会员档案!$O328)</f>
        <v/>
      </c>
      <c r="H328" s="31">
        <f>IF(A328="","",会员档案!$P328)</f>
        <v/>
      </c>
      <c r="I328" s="55" t="n"/>
      <c r="J328" s="11" t="n"/>
      <c r="K328" s="11" t="n"/>
    </row>
    <row r="329">
      <c r="A329" s="31">
        <f>IF(会员档案!$U329="沉睡客户",会员档案!$A329,"")</f>
        <v/>
      </c>
      <c r="B329" s="31">
        <f>IF(A329="","",会员档案!$B329)</f>
        <v/>
      </c>
      <c r="C329" s="31">
        <f>IF(A329="","",会员档案!$D329)</f>
        <v/>
      </c>
      <c r="D329" s="31">
        <f>IF(A329="","",会员档案!$F329)</f>
        <v/>
      </c>
      <c r="E329" s="58">
        <f>IF(A329="","",会员档案!$S329)</f>
        <v/>
      </c>
      <c r="F329" s="31">
        <f>IF(A329="","",会员档案!$T329)</f>
        <v/>
      </c>
      <c r="G329" s="31">
        <f>IF(A329="","",会员档案!$O329)</f>
        <v/>
      </c>
      <c r="H329" s="31">
        <f>IF(A329="","",会员档案!$P329)</f>
        <v/>
      </c>
      <c r="I329" s="55" t="n"/>
      <c r="J329" s="11" t="n"/>
      <c r="K329" s="11" t="n"/>
    </row>
    <row r="330">
      <c r="A330" s="31">
        <f>IF(会员档案!$U330="沉睡客户",会员档案!$A330,"")</f>
        <v/>
      </c>
      <c r="B330" s="31">
        <f>IF(A330="","",会员档案!$B330)</f>
        <v/>
      </c>
      <c r="C330" s="31">
        <f>IF(A330="","",会员档案!$D330)</f>
        <v/>
      </c>
      <c r="D330" s="31">
        <f>IF(A330="","",会员档案!$F330)</f>
        <v/>
      </c>
      <c r="E330" s="58">
        <f>IF(A330="","",会员档案!$S330)</f>
        <v/>
      </c>
      <c r="F330" s="31">
        <f>IF(A330="","",会员档案!$T330)</f>
        <v/>
      </c>
      <c r="G330" s="31">
        <f>IF(A330="","",会员档案!$O330)</f>
        <v/>
      </c>
      <c r="H330" s="31">
        <f>IF(A330="","",会员档案!$P330)</f>
        <v/>
      </c>
      <c r="I330" s="55" t="n"/>
      <c r="J330" s="11" t="n"/>
      <c r="K330" s="11" t="n"/>
    </row>
    <row r="331">
      <c r="A331" s="31">
        <f>IF(会员档案!$U331="沉睡客户",会员档案!$A331,"")</f>
        <v/>
      </c>
      <c r="B331" s="31">
        <f>IF(A331="","",会员档案!$B331)</f>
        <v/>
      </c>
      <c r="C331" s="31">
        <f>IF(A331="","",会员档案!$D331)</f>
        <v/>
      </c>
      <c r="D331" s="31">
        <f>IF(A331="","",会员档案!$F331)</f>
        <v/>
      </c>
      <c r="E331" s="58">
        <f>IF(A331="","",会员档案!$S331)</f>
        <v/>
      </c>
      <c r="F331" s="31">
        <f>IF(A331="","",会员档案!$T331)</f>
        <v/>
      </c>
      <c r="G331" s="31">
        <f>IF(A331="","",会员档案!$O331)</f>
        <v/>
      </c>
      <c r="H331" s="31">
        <f>IF(A331="","",会员档案!$P331)</f>
        <v/>
      </c>
      <c r="I331" s="55" t="n"/>
      <c r="J331" s="11" t="n"/>
      <c r="K331" s="11" t="n"/>
    </row>
    <row r="332">
      <c r="A332" s="31">
        <f>IF(会员档案!$U332="沉睡客户",会员档案!$A332,"")</f>
        <v/>
      </c>
      <c r="B332" s="31">
        <f>IF(A332="","",会员档案!$B332)</f>
        <v/>
      </c>
      <c r="C332" s="31">
        <f>IF(A332="","",会员档案!$D332)</f>
        <v/>
      </c>
      <c r="D332" s="31">
        <f>IF(A332="","",会员档案!$F332)</f>
        <v/>
      </c>
      <c r="E332" s="58">
        <f>IF(A332="","",会员档案!$S332)</f>
        <v/>
      </c>
      <c r="F332" s="31">
        <f>IF(A332="","",会员档案!$T332)</f>
        <v/>
      </c>
      <c r="G332" s="31">
        <f>IF(A332="","",会员档案!$O332)</f>
        <v/>
      </c>
      <c r="H332" s="31">
        <f>IF(A332="","",会员档案!$P332)</f>
        <v/>
      </c>
      <c r="I332" s="55" t="n"/>
      <c r="J332" s="11" t="n"/>
      <c r="K332" s="11" t="n"/>
    </row>
    <row r="333">
      <c r="A333" s="31">
        <f>IF(会员档案!$U333="沉睡客户",会员档案!$A333,"")</f>
        <v/>
      </c>
      <c r="B333" s="31">
        <f>IF(A333="","",会员档案!$B333)</f>
        <v/>
      </c>
      <c r="C333" s="31">
        <f>IF(A333="","",会员档案!$D333)</f>
        <v/>
      </c>
      <c r="D333" s="31">
        <f>IF(A333="","",会员档案!$F333)</f>
        <v/>
      </c>
      <c r="E333" s="58">
        <f>IF(A333="","",会员档案!$S333)</f>
        <v/>
      </c>
      <c r="F333" s="31">
        <f>IF(A333="","",会员档案!$T333)</f>
        <v/>
      </c>
      <c r="G333" s="31">
        <f>IF(A333="","",会员档案!$O333)</f>
        <v/>
      </c>
      <c r="H333" s="31">
        <f>IF(A333="","",会员档案!$P333)</f>
        <v/>
      </c>
      <c r="I333" s="55" t="n"/>
      <c r="J333" s="11" t="n"/>
      <c r="K333" s="11" t="n"/>
    </row>
    <row r="334">
      <c r="A334" s="31">
        <f>IF(会员档案!$U334="沉睡客户",会员档案!$A334,"")</f>
        <v/>
      </c>
      <c r="B334" s="31">
        <f>IF(A334="","",会员档案!$B334)</f>
        <v/>
      </c>
      <c r="C334" s="31">
        <f>IF(A334="","",会员档案!$D334)</f>
        <v/>
      </c>
      <c r="D334" s="31">
        <f>IF(A334="","",会员档案!$F334)</f>
        <v/>
      </c>
      <c r="E334" s="58">
        <f>IF(A334="","",会员档案!$S334)</f>
        <v/>
      </c>
      <c r="F334" s="31">
        <f>IF(A334="","",会员档案!$T334)</f>
        <v/>
      </c>
      <c r="G334" s="31">
        <f>IF(A334="","",会员档案!$O334)</f>
        <v/>
      </c>
      <c r="H334" s="31">
        <f>IF(A334="","",会员档案!$P334)</f>
        <v/>
      </c>
      <c r="I334" s="55" t="n"/>
      <c r="J334" s="11" t="n"/>
      <c r="K334" s="11" t="n"/>
    </row>
    <row r="335">
      <c r="A335" s="31">
        <f>IF(会员档案!$U335="沉睡客户",会员档案!$A335,"")</f>
        <v/>
      </c>
      <c r="B335" s="31">
        <f>IF(A335="","",会员档案!$B335)</f>
        <v/>
      </c>
      <c r="C335" s="31">
        <f>IF(A335="","",会员档案!$D335)</f>
        <v/>
      </c>
      <c r="D335" s="31">
        <f>IF(A335="","",会员档案!$F335)</f>
        <v/>
      </c>
      <c r="E335" s="58">
        <f>IF(A335="","",会员档案!$S335)</f>
        <v/>
      </c>
      <c r="F335" s="31">
        <f>IF(A335="","",会员档案!$T335)</f>
        <v/>
      </c>
      <c r="G335" s="31">
        <f>IF(A335="","",会员档案!$O335)</f>
        <v/>
      </c>
      <c r="H335" s="31">
        <f>IF(A335="","",会员档案!$P335)</f>
        <v/>
      </c>
      <c r="I335" s="55" t="n"/>
      <c r="J335" s="11" t="n"/>
      <c r="K335" s="11" t="n"/>
    </row>
    <row r="336">
      <c r="A336" s="31">
        <f>IF(会员档案!$U336="沉睡客户",会员档案!$A336,"")</f>
        <v/>
      </c>
      <c r="B336" s="31">
        <f>IF(A336="","",会员档案!$B336)</f>
        <v/>
      </c>
      <c r="C336" s="31">
        <f>IF(A336="","",会员档案!$D336)</f>
        <v/>
      </c>
      <c r="D336" s="31">
        <f>IF(A336="","",会员档案!$F336)</f>
        <v/>
      </c>
      <c r="E336" s="58">
        <f>IF(A336="","",会员档案!$S336)</f>
        <v/>
      </c>
      <c r="F336" s="31">
        <f>IF(A336="","",会员档案!$T336)</f>
        <v/>
      </c>
      <c r="G336" s="31">
        <f>IF(A336="","",会员档案!$O336)</f>
        <v/>
      </c>
      <c r="H336" s="31">
        <f>IF(A336="","",会员档案!$P336)</f>
        <v/>
      </c>
      <c r="I336" s="55" t="n"/>
      <c r="J336" s="11" t="n"/>
      <c r="K336" s="11" t="n"/>
    </row>
    <row r="337">
      <c r="A337" s="31">
        <f>IF(会员档案!$U337="沉睡客户",会员档案!$A337,"")</f>
        <v/>
      </c>
      <c r="B337" s="31">
        <f>IF(A337="","",会员档案!$B337)</f>
        <v/>
      </c>
      <c r="C337" s="31">
        <f>IF(A337="","",会员档案!$D337)</f>
        <v/>
      </c>
      <c r="D337" s="31">
        <f>IF(A337="","",会员档案!$F337)</f>
        <v/>
      </c>
      <c r="E337" s="58">
        <f>IF(A337="","",会员档案!$S337)</f>
        <v/>
      </c>
      <c r="F337" s="31">
        <f>IF(A337="","",会员档案!$T337)</f>
        <v/>
      </c>
      <c r="G337" s="31">
        <f>IF(A337="","",会员档案!$O337)</f>
        <v/>
      </c>
      <c r="H337" s="31">
        <f>IF(A337="","",会员档案!$P337)</f>
        <v/>
      </c>
      <c r="I337" s="55" t="n"/>
      <c r="J337" s="11" t="n"/>
      <c r="K337" s="11" t="n"/>
    </row>
    <row r="338">
      <c r="A338" s="31">
        <f>IF(会员档案!$U338="沉睡客户",会员档案!$A338,"")</f>
        <v/>
      </c>
      <c r="B338" s="31">
        <f>IF(A338="","",会员档案!$B338)</f>
        <v/>
      </c>
      <c r="C338" s="31">
        <f>IF(A338="","",会员档案!$D338)</f>
        <v/>
      </c>
      <c r="D338" s="31">
        <f>IF(A338="","",会员档案!$F338)</f>
        <v/>
      </c>
      <c r="E338" s="58">
        <f>IF(A338="","",会员档案!$S338)</f>
        <v/>
      </c>
      <c r="F338" s="31">
        <f>IF(A338="","",会员档案!$T338)</f>
        <v/>
      </c>
      <c r="G338" s="31">
        <f>IF(A338="","",会员档案!$O338)</f>
        <v/>
      </c>
      <c r="H338" s="31">
        <f>IF(A338="","",会员档案!$P338)</f>
        <v/>
      </c>
      <c r="I338" s="55" t="n"/>
      <c r="J338" s="11" t="n"/>
      <c r="K338" s="11" t="n"/>
    </row>
    <row r="339">
      <c r="A339" s="31">
        <f>IF(会员档案!$U339="沉睡客户",会员档案!$A339,"")</f>
        <v/>
      </c>
      <c r="B339" s="31">
        <f>IF(A339="","",会员档案!$B339)</f>
        <v/>
      </c>
      <c r="C339" s="31">
        <f>IF(A339="","",会员档案!$D339)</f>
        <v/>
      </c>
      <c r="D339" s="31">
        <f>IF(A339="","",会员档案!$F339)</f>
        <v/>
      </c>
      <c r="E339" s="58">
        <f>IF(A339="","",会员档案!$S339)</f>
        <v/>
      </c>
      <c r="F339" s="31">
        <f>IF(A339="","",会员档案!$T339)</f>
        <v/>
      </c>
      <c r="G339" s="31">
        <f>IF(A339="","",会员档案!$O339)</f>
        <v/>
      </c>
      <c r="H339" s="31">
        <f>IF(A339="","",会员档案!$P339)</f>
        <v/>
      </c>
      <c r="I339" s="55" t="n"/>
      <c r="J339" s="11" t="n"/>
      <c r="K339" s="11" t="n"/>
    </row>
    <row r="340">
      <c r="A340" s="31">
        <f>IF(会员档案!$U340="沉睡客户",会员档案!$A340,"")</f>
        <v/>
      </c>
      <c r="B340" s="31">
        <f>IF(A340="","",会员档案!$B340)</f>
        <v/>
      </c>
      <c r="C340" s="31">
        <f>IF(A340="","",会员档案!$D340)</f>
        <v/>
      </c>
      <c r="D340" s="31">
        <f>IF(A340="","",会员档案!$F340)</f>
        <v/>
      </c>
      <c r="E340" s="58">
        <f>IF(A340="","",会员档案!$S340)</f>
        <v/>
      </c>
      <c r="F340" s="31">
        <f>IF(A340="","",会员档案!$T340)</f>
        <v/>
      </c>
      <c r="G340" s="31">
        <f>IF(A340="","",会员档案!$O340)</f>
        <v/>
      </c>
      <c r="H340" s="31">
        <f>IF(A340="","",会员档案!$P340)</f>
        <v/>
      </c>
      <c r="I340" s="55" t="n"/>
      <c r="J340" s="11" t="n"/>
      <c r="K340" s="11" t="n"/>
    </row>
    <row r="341">
      <c r="A341" s="31">
        <f>IF(会员档案!$U341="沉睡客户",会员档案!$A341,"")</f>
        <v/>
      </c>
      <c r="B341" s="31">
        <f>IF(A341="","",会员档案!$B341)</f>
        <v/>
      </c>
      <c r="C341" s="31">
        <f>IF(A341="","",会员档案!$D341)</f>
        <v/>
      </c>
      <c r="D341" s="31">
        <f>IF(A341="","",会员档案!$F341)</f>
        <v/>
      </c>
      <c r="E341" s="58">
        <f>IF(A341="","",会员档案!$S341)</f>
        <v/>
      </c>
      <c r="F341" s="31">
        <f>IF(A341="","",会员档案!$T341)</f>
        <v/>
      </c>
      <c r="G341" s="31">
        <f>IF(A341="","",会员档案!$O341)</f>
        <v/>
      </c>
      <c r="H341" s="31">
        <f>IF(A341="","",会员档案!$P341)</f>
        <v/>
      </c>
      <c r="I341" s="55" t="n"/>
      <c r="J341" s="11" t="n"/>
      <c r="K341" s="11" t="n"/>
    </row>
    <row r="342">
      <c r="A342" s="31">
        <f>IF(会员档案!$U342="沉睡客户",会员档案!$A342,"")</f>
        <v/>
      </c>
      <c r="B342" s="31">
        <f>IF(A342="","",会员档案!$B342)</f>
        <v/>
      </c>
      <c r="C342" s="31">
        <f>IF(A342="","",会员档案!$D342)</f>
        <v/>
      </c>
      <c r="D342" s="31">
        <f>IF(A342="","",会员档案!$F342)</f>
        <v/>
      </c>
      <c r="E342" s="58">
        <f>IF(A342="","",会员档案!$S342)</f>
        <v/>
      </c>
      <c r="F342" s="31">
        <f>IF(A342="","",会员档案!$T342)</f>
        <v/>
      </c>
      <c r="G342" s="31">
        <f>IF(A342="","",会员档案!$O342)</f>
        <v/>
      </c>
      <c r="H342" s="31">
        <f>IF(A342="","",会员档案!$P342)</f>
        <v/>
      </c>
      <c r="I342" s="55" t="n"/>
      <c r="J342" s="11" t="n"/>
      <c r="K342" s="11" t="n"/>
    </row>
    <row r="343">
      <c r="A343" s="31">
        <f>IF(会员档案!$U343="沉睡客户",会员档案!$A343,"")</f>
        <v/>
      </c>
      <c r="B343" s="31">
        <f>IF(A343="","",会员档案!$B343)</f>
        <v/>
      </c>
      <c r="C343" s="31">
        <f>IF(A343="","",会员档案!$D343)</f>
        <v/>
      </c>
      <c r="D343" s="31">
        <f>IF(A343="","",会员档案!$F343)</f>
        <v/>
      </c>
      <c r="E343" s="58">
        <f>IF(A343="","",会员档案!$S343)</f>
        <v/>
      </c>
      <c r="F343" s="31">
        <f>IF(A343="","",会员档案!$T343)</f>
        <v/>
      </c>
      <c r="G343" s="31">
        <f>IF(A343="","",会员档案!$O343)</f>
        <v/>
      </c>
      <c r="H343" s="31">
        <f>IF(A343="","",会员档案!$P343)</f>
        <v/>
      </c>
      <c r="I343" s="55" t="n"/>
      <c r="J343" s="11" t="n"/>
      <c r="K343" s="11" t="n"/>
    </row>
    <row r="344">
      <c r="A344" s="31">
        <f>IF(会员档案!$U344="沉睡客户",会员档案!$A344,"")</f>
        <v/>
      </c>
      <c r="B344" s="31">
        <f>IF(A344="","",会员档案!$B344)</f>
        <v/>
      </c>
      <c r="C344" s="31">
        <f>IF(A344="","",会员档案!$D344)</f>
        <v/>
      </c>
      <c r="D344" s="31">
        <f>IF(A344="","",会员档案!$F344)</f>
        <v/>
      </c>
      <c r="E344" s="58">
        <f>IF(A344="","",会员档案!$S344)</f>
        <v/>
      </c>
      <c r="F344" s="31">
        <f>IF(A344="","",会员档案!$T344)</f>
        <v/>
      </c>
      <c r="G344" s="31">
        <f>IF(A344="","",会员档案!$O344)</f>
        <v/>
      </c>
      <c r="H344" s="31">
        <f>IF(A344="","",会员档案!$P344)</f>
        <v/>
      </c>
      <c r="I344" s="55" t="n"/>
      <c r="J344" s="11" t="n"/>
      <c r="K344" s="11" t="n"/>
    </row>
    <row r="345">
      <c r="A345" s="31">
        <f>IF(会员档案!$U345="沉睡客户",会员档案!$A345,"")</f>
        <v/>
      </c>
      <c r="B345" s="31">
        <f>IF(A345="","",会员档案!$B345)</f>
        <v/>
      </c>
      <c r="C345" s="31">
        <f>IF(A345="","",会员档案!$D345)</f>
        <v/>
      </c>
      <c r="D345" s="31">
        <f>IF(A345="","",会员档案!$F345)</f>
        <v/>
      </c>
      <c r="E345" s="58">
        <f>IF(A345="","",会员档案!$S345)</f>
        <v/>
      </c>
      <c r="F345" s="31">
        <f>IF(A345="","",会员档案!$T345)</f>
        <v/>
      </c>
      <c r="G345" s="31">
        <f>IF(A345="","",会员档案!$O345)</f>
        <v/>
      </c>
      <c r="H345" s="31">
        <f>IF(A345="","",会员档案!$P345)</f>
        <v/>
      </c>
      <c r="I345" s="55" t="n"/>
      <c r="J345" s="11" t="n"/>
      <c r="K345" s="11" t="n"/>
    </row>
    <row r="346">
      <c r="A346" s="31">
        <f>IF(会员档案!$U346="沉睡客户",会员档案!$A346,"")</f>
        <v/>
      </c>
      <c r="B346" s="31">
        <f>IF(A346="","",会员档案!$B346)</f>
        <v/>
      </c>
      <c r="C346" s="31">
        <f>IF(A346="","",会员档案!$D346)</f>
        <v/>
      </c>
      <c r="D346" s="31">
        <f>IF(A346="","",会员档案!$F346)</f>
        <v/>
      </c>
      <c r="E346" s="58">
        <f>IF(A346="","",会员档案!$S346)</f>
        <v/>
      </c>
      <c r="F346" s="31">
        <f>IF(A346="","",会员档案!$T346)</f>
        <v/>
      </c>
      <c r="G346" s="31">
        <f>IF(A346="","",会员档案!$O346)</f>
        <v/>
      </c>
      <c r="H346" s="31">
        <f>IF(A346="","",会员档案!$P346)</f>
        <v/>
      </c>
      <c r="I346" s="55" t="n"/>
      <c r="J346" s="11" t="n"/>
      <c r="K346" s="11" t="n"/>
    </row>
    <row r="347">
      <c r="A347" s="31">
        <f>IF(会员档案!$U347="沉睡客户",会员档案!$A347,"")</f>
        <v/>
      </c>
      <c r="B347" s="31">
        <f>IF(A347="","",会员档案!$B347)</f>
        <v/>
      </c>
      <c r="C347" s="31">
        <f>IF(A347="","",会员档案!$D347)</f>
        <v/>
      </c>
      <c r="D347" s="31">
        <f>IF(A347="","",会员档案!$F347)</f>
        <v/>
      </c>
      <c r="E347" s="58">
        <f>IF(A347="","",会员档案!$S347)</f>
        <v/>
      </c>
      <c r="F347" s="31">
        <f>IF(A347="","",会员档案!$T347)</f>
        <v/>
      </c>
      <c r="G347" s="31">
        <f>IF(A347="","",会员档案!$O347)</f>
        <v/>
      </c>
      <c r="H347" s="31">
        <f>IF(A347="","",会员档案!$P347)</f>
        <v/>
      </c>
      <c r="I347" s="55" t="n"/>
      <c r="J347" s="11" t="n"/>
      <c r="K347" s="11" t="n"/>
    </row>
    <row r="348">
      <c r="A348" s="31">
        <f>IF(会员档案!$U348="沉睡客户",会员档案!$A348,"")</f>
        <v/>
      </c>
      <c r="B348" s="31">
        <f>IF(A348="","",会员档案!$B348)</f>
        <v/>
      </c>
      <c r="C348" s="31">
        <f>IF(A348="","",会员档案!$D348)</f>
        <v/>
      </c>
      <c r="D348" s="31">
        <f>IF(A348="","",会员档案!$F348)</f>
        <v/>
      </c>
      <c r="E348" s="58">
        <f>IF(A348="","",会员档案!$S348)</f>
        <v/>
      </c>
      <c r="F348" s="31">
        <f>IF(A348="","",会员档案!$T348)</f>
        <v/>
      </c>
      <c r="G348" s="31">
        <f>IF(A348="","",会员档案!$O348)</f>
        <v/>
      </c>
      <c r="H348" s="31">
        <f>IF(A348="","",会员档案!$P348)</f>
        <v/>
      </c>
      <c r="I348" s="55" t="n"/>
      <c r="J348" s="11" t="n"/>
      <c r="K348" s="11" t="n"/>
    </row>
    <row r="349">
      <c r="A349" s="31">
        <f>IF(会员档案!$U349="沉睡客户",会员档案!$A349,"")</f>
        <v/>
      </c>
      <c r="B349" s="31">
        <f>IF(A349="","",会员档案!$B349)</f>
        <v/>
      </c>
      <c r="C349" s="31">
        <f>IF(A349="","",会员档案!$D349)</f>
        <v/>
      </c>
      <c r="D349" s="31">
        <f>IF(A349="","",会员档案!$F349)</f>
        <v/>
      </c>
      <c r="E349" s="58">
        <f>IF(A349="","",会员档案!$S349)</f>
        <v/>
      </c>
      <c r="F349" s="31">
        <f>IF(A349="","",会员档案!$T349)</f>
        <v/>
      </c>
      <c r="G349" s="31">
        <f>IF(A349="","",会员档案!$O349)</f>
        <v/>
      </c>
      <c r="H349" s="31">
        <f>IF(A349="","",会员档案!$P349)</f>
        <v/>
      </c>
      <c r="I349" s="55" t="n"/>
      <c r="J349" s="11" t="n"/>
      <c r="K349" s="11" t="n"/>
    </row>
    <row r="350">
      <c r="A350" s="31">
        <f>IF(会员档案!$U350="沉睡客户",会员档案!$A350,"")</f>
        <v/>
      </c>
      <c r="B350" s="31">
        <f>IF(A350="","",会员档案!$B350)</f>
        <v/>
      </c>
      <c r="C350" s="31">
        <f>IF(A350="","",会员档案!$D350)</f>
        <v/>
      </c>
      <c r="D350" s="31">
        <f>IF(A350="","",会员档案!$F350)</f>
        <v/>
      </c>
      <c r="E350" s="58">
        <f>IF(A350="","",会员档案!$S350)</f>
        <v/>
      </c>
      <c r="F350" s="31">
        <f>IF(A350="","",会员档案!$T350)</f>
        <v/>
      </c>
      <c r="G350" s="31">
        <f>IF(A350="","",会员档案!$O350)</f>
        <v/>
      </c>
      <c r="H350" s="31">
        <f>IF(A350="","",会员档案!$P350)</f>
        <v/>
      </c>
      <c r="I350" s="55" t="n"/>
      <c r="J350" s="11" t="n"/>
      <c r="K350" s="11" t="n"/>
    </row>
    <row r="351">
      <c r="A351" s="31">
        <f>IF(会员档案!$U351="沉睡客户",会员档案!$A351,"")</f>
        <v/>
      </c>
      <c r="B351" s="31">
        <f>IF(A351="","",会员档案!$B351)</f>
        <v/>
      </c>
      <c r="C351" s="31">
        <f>IF(A351="","",会员档案!$D351)</f>
        <v/>
      </c>
      <c r="D351" s="31">
        <f>IF(A351="","",会员档案!$F351)</f>
        <v/>
      </c>
      <c r="E351" s="58">
        <f>IF(A351="","",会员档案!$S351)</f>
        <v/>
      </c>
      <c r="F351" s="31">
        <f>IF(A351="","",会员档案!$T351)</f>
        <v/>
      </c>
      <c r="G351" s="31">
        <f>IF(A351="","",会员档案!$O351)</f>
        <v/>
      </c>
      <c r="H351" s="31">
        <f>IF(A351="","",会员档案!$P351)</f>
        <v/>
      </c>
      <c r="I351" s="55" t="n"/>
      <c r="J351" s="11" t="n"/>
      <c r="K351" s="11" t="n"/>
    </row>
    <row r="352">
      <c r="A352" s="31">
        <f>IF(会员档案!$U352="沉睡客户",会员档案!$A352,"")</f>
        <v/>
      </c>
      <c r="B352" s="31">
        <f>IF(A352="","",会员档案!$B352)</f>
        <v/>
      </c>
      <c r="C352" s="31">
        <f>IF(A352="","",会员档案!$D352)</f>
        <v/>
      </c>
      <c r="D352" s="31">
        <f>IF(A352="","",会员档案!$F352)</f>
        <v/>
      </c>
      <c r="E352" s="58">
        <f>IF(A352="","",会员档案!$S352)</f>
        <v/>
      </c>
      <c r="F352" s="31">
        <f>IF(A352="","",会员档案!$T352)</f>
        <v/>
      </c>
      <c r="G352" s="31">
        <f>IF(A352="","",会员档案!$O352)</f>
        <v/>
      </c>
      <c r="H352" s="31">
        <f>IF(A352="","",会员档案!$P352)</f>
        <v/>
      </c>
      <c r="I352" s="55" t="n"/>
      <c r="J352" s="11" t="n"/>
      <c r="K352" s="11" t="n"/>
    </row>
    <row r="353">
      <c r="A353" s="31">
        <f>IF(会员档案!$U353="沉睡客户",会员档案!$A353,"")</f>
        <v/>
      </c>
      <c r="B353" s="31">
        <f>IF(A353="","",会员档案!$B353)</f>
        <v/>
      </c>
      <c r="C353" s="31">
        <f>IF(A353="","",会员档案!$D353)</f>
        <v/>
      </c>
      <c r="D353" s="31">
        <f>IF(A353="","",会员档案!$F353)</f>
        <v/>
      </c>
      <c r="E353" s="58">
        <f>IF(A353="","",会员档案!$S353)</f>
        <v/>
      </c>
      <c r="F353" s="31">
        <f>IF(A353="","",会员档案!$T353)</f>
        <v/>
      </c>
      <c r="G353" s="31">
        <f>IF(A353="","",会员档案!$O353)</f>
        <v/>
      </c>
      <c r="H353" s="31">
        <f>IF(A353="","",会员档案!$P353)</f>
        <v/>
      </c>
      <c r="I353" s="55" t="n"/>
      <c r="J353" s="11" t="n"/>
      <c r="K353" s="11" t="n"/>
    </row>
    <row r="354">
      <c r="A354" s="31">
        <f>IF(会员档案!$U354="沉睡客户",会员档案!$A354,"")</f>
        <v/>
      </c>
      <c r="B354" s="31">
        <f>IF(A354="","",会员档案!$B354)</f>
        <v/>
      </c>
      <c r="C354" s="31">
        <f>IF(A354="","",会员档案!$D354)</f>
        <v/>
      </c>
      <c r="D354" s="31">
        <f>IF(A354="","",会员档案!$F354)</f>
        <v/>
      </c>
      <c r="E354" s="58">
        <f>IF(A354="","",会员档案!$S354)</f>
        <v/>
      </c>
      <c r="F354" s="31">
        <f>IF(A354="","",会员档案!$T354)</f>
        <v/>
      </c>
      <c r="G354" s="31">
        <f>IF(A354="","",会员档案!$O354)</f>
        <v/>
      </c>
      <c r="H354" s="31">
        <f>IF(A354="","",会员档案!$P354)</f>
        <v/>
      </c>
      <c r="I354" s="55" t="n"/>
      <c r="J354" s="11" t="n"/>
      <c r="K354" s="11" t="n"/>
    </row>
    <row r="355">
      <c r="A355" s="31">
        <f>IF(会员档案!$U355="沉睡客户",会员档案!$A355,"")</f>
        <v/>
      </c>
      <c r="B355" s="31">
        <f>IF(A355="","",会员档案!$B355)</f>
        <v/>
      </c>
      <c r="C355" s="31">
        <f>IF(A355="","",会员档案!$D355)</f>
        <v/>
      </c>
      <c r="D355" s="31">
        <f>IF(A355="","",会员档案!$F355)</f>
        <v/>
      </c>
      <c r="E355" s="58">
        <f>IF(A355="","",会员档案!$S355)</f>
        <v/>
      </c>
      <c r="F355" s="31">
        <f>IF(A355="","",会员档案!$T355)</f>
        <v/>
      </c>
      <c r="G355" s="31">
        <f>IF(A355="","",会员档案!$O355)</f>
        <v/>
      </c>
      <c r="H355" s="31">
        <f>IF(A355="","",会员档案!$P355)</f>
        <v/>
      </c>
      <c r="I355" s="55" t="n"/>
      <c r="J355" s="11" t="n"/>
      <c r="K355" s="11" t="n"/>
    </row>
    <row r="356">
      <c r="A356" s="31">
        <f>IF(会员档案!$U356="沉睡客户",会员档案!$A356,"")</f>
        <v/>
      </c>
      <c r="B356" s="31">
        <f>IF(A356="","",会员档案!$B356)</f>
        <v/>
      </c>
      <c r="C356" s="31">
        <f>IF(A356="","",会员档案!$D356)</f>
        <v/>
      </c>
      <c r="D356" s="31">
        <f>IF(A356="","",会员档案!$F356)</f>
        <v/>
      </c>
      <c r="E356" s="58">
        <f>IF(A356="","",会员档案!$S356)</f>
        <v/>
      </c>
      <c r="F356" s="31">
        <f>IF(A356="","",会员档案!$T356)</f>
        <v/>
      </c>
      <c r="G356" s="31">
        <f>IF(A356="","",会员档案!$O356)</f>
        <v/>
      </c>
      <c r="H356" s="31">
        <f>IF(A356="","",会员档案!$P356)</f>
        <v/>
      </c>
      <c r="I356" s="55" t="n"/>
      <c r="J356" s="11" t="n"/>
      <c r="K356" s="11" t="n"/>
    </row>
    <row r="357">
      <c r="A357" s="31">
        <f>IF(会员档案!$U357="沉睡客户",会员档案!$A357,"")</f>
        <v/>
      </c>
      <c r="B357" s="31">
        <f>IF(A357="","",会员档案!$B357)</f>
        <v/>
      </c>
      <c r="C357" s="31">
        <f>IF(A357="","",会员档案!$D357)</f>
        <v/>
      </c>
      <c r="D357" s="31">
        <f>IF(A357="","",会员档案!$F357)</f>
        <v/>
      </c>
      <c r="E357" s="58">
        <f>IF(A357="","",会员档案!$S357)</f>
        <v/>
      </c>
      <c r="F357" s="31">
        <f>IF(A357="","",会员档案!$T357)</f>
        <v/>
      </c>
      <c r="G357" s="31">
        <f>IF(A357="","",会员档案!$O357)</f>
        <v/>
      </c>
      <c r="H357" s="31">
        <f>IF(A357="","",会员档案!$P357)</f>
        <v/>
      </c>
      <c r="I357" s="55" t="n"/>
      <c r="J357" s="11" t="n"/>
      <c r="K357" s="11" t="n"/>
    </row>
    <row r="358">
      <c r="A358" s="31">
        <f>IF(会员档案!$U358="沉睡客户",会员档案!$A358,"")</f>
        <v/>
      </c>
      <c r="B358" s="31">
        <f>IF(A358="","",会员档案!$B358)</f>
        <v/>
      </c>
      <c r="C358" s="31">
        <f>IF(A358="","",会员档案!$D358)</f>
        <v/>
      </c>
      <c r="D358" s="31">
        <f>IF(A358="","",会员档案!$F358)</f>
        <v/>
      </c>
      <c r="E358" s="58">
        <f>IF(A358="","",会员档案!$S358)</f>
        <v/>
      </c>
      <c r="F358" s="31">
        <f>IF(A358="","",会员档案!$T358)</f>
        <v/>
      </c>
      <c r="G358" s="31">
        <f>IF(A358="","",会员档案!$O358)</f>
        <v/>
      </c>
      <c r="H358" s="31">
        <f>IF(A358="","",会员档案!$P358)</f>
        <v/>
      </c>
      <c r="I358" s="55" t="n"/>
      <c r="J358" s="11" t="n"/>
      <c r="K358" s="11" t="n"/>
    </row>
    <row r="359">
      <c r="A359" s="31">
        <f>IF(会员档案!$U359="沉睡客户",会员档案!$A359,"")</f>
        <v/>
      </c>
      <c r="B359" s="31">
        <f>IF(A359="","",会员档案!$B359)</f>
        <v/>
      </c>
      <c r="C359" s="31">
        <f>IF(A359="","",会员档案!$D359)</f>
        <v/>
      </c>
      <c r="D359" s="31">
        <f>IF(A359="","",会员档案!$F359)</f>
        <v/>
      </c>
      <c r="E359" s="58">
        <f>IF(A359="","",会员档案!$S359)</f>
        <v/>
      </c>
      <c r="F359" s="31">
        <f>IF(A359="","",会员档案!$T359)</f>
        <v/>
      </c>
      <c r="G359" s="31">
        <f>IF(A359="","",会员档案!$O359)</f>
        <v/>
      </c>
      <c r="H359" s="31">
        <f>IF(A359="","",会员档案!$P359)</f>
        <v/>
      </c>
      <c r="I359" s="55" t="n"/>
      <c r="J359" s="11" t="n"/>
      <c r="K359" s="11" t="n"/>
    </row>
    <row r="360">
      <c r="A360" s="31">
        <f>IF(会员档案!$U360="沉睡客户",会员档案!$A360,"")</f>
        <v/>
      </c>
      <c r="B360" s="31">
        <f>IF(A360="","",会员档案!$B360)</f>
        <v/>
      </c>
      <c r="C360" s="31">
        <f>IF(A360="","",会员档案!$D360)</f>
        <v/>
      </c>
      <c r="D360" s="31">
        <f>IF(A360="","",会员档案!$F360)</f>
        <v/>
      </c>
      <c r="E360" s="58">
        <f>IF(A360="","",会员档案!$S360)</f>
        <v/>
      </c>
      <c r="F360" s="31">
        <f>IF(A360="","",会员档案!$T360)</f>
        <v/>
      </c>
      <c r="G360" s="31">
        <f>IF(A360="","",会员档案!$O360)</f>
        <v/>
      </c>
      <c r="H360" s="31">
        <f>IF(A360="","",会员档案!$P360)</f>
        <v/>
      </c>
      <c r="I360" s="55" t="n"/>
      <c r="J360" s="11" t="n"/>
      <c r="K360" s="11" t="n"/>
    </row>
    <row r="361">
      <c r="A361" s="31">
        <f>IF(会员档案!$U361="沉睡客户",会员档案!$A361,"")</f>
        <v/>
      </c>
      <c r="B361" s="31">
        <f>IF(A361="","",会员档案!$B361)</f>
        <v/>
      </c>
      <c r="C361" s="31">
        <f>IF(A361="","",会员档案!$D361)</f>
        <v/>
      </c>
      <c r="D361" s="31">
        <f>IF(A361="","",会员档案!$F361)</f>
        <v/>
      </c>
      <c r="E361" s="58">
        <f>IF(A361="","",会员档案!$S361)</f>
        <v/>
      </c>
      <c r="F361" s="31">
        <f>IF(A361="","",会员档案!$T361)</f>
        <v/>
      </c>
      <c r="G361" s="31">
        <f>IF(A361="","",会员档案!$O361)</f>
        <v/>
      </c>
      <c r="H361" s="31">
        <f>IF(A361="","",会员档案!$P361)</f>
        <v/>
      </c>
      <c r="I361" s="55" t="n"/>
      <c r="J361" s="11" t="n"/>
      <c r="K361" s="11" t="n"/>
    </row>
    <row r="362">
      <c r="A362" s="31">
        <f>IF(会员档案!$U362="沉睡客户",会员档案!$A362,"")</f>
        <v/>
      </c>
      <c r="B362" s="31">
        <f>IF(A362="","",会员档案!$B362)</f>
        <v/>
      </c>
      <c r="C362" s="31">
        <f>IF(A362="","",会员档案!$D362)</f>
        <v/>
      </c>
      <c r="D362" s="31">
        <f>IF(A362="","",会员档案!$F362)</f>
        <v/>
      </c>
      <c r="E362" s="58">
        <f>IF(A362="","",会员档案!$S362)</f>
        <v/>
      </c>
      <c r="F362" s="31">
        <f>IF(A362="","",会员档案!$T362)</f>
        <v/>
      </c>
      <c r="G362" s="31">
        <f>IF(A362="","",会员档案!$O362)</f>
        <v/>
      </c>
      <c r="H362" s="31">
        <f>IF(A362="","",会员档案!$P362)</f>
        <v/>
      </c>
      <c r="I362" s="55" t="n"/>
      <c r="J362" s="11" t="n"/>
      <c r="K362" s="11" t="n"/>
    </row>
    <row r="363">
      <c r="A363" s="31">
        <f>IF(会员档案!$U363="沉睡客户",会员档案!$A363,"")</f>
        <v/>
      </c>
      <c r="B363" s="31">
        <f>IF(A363="","",会员档案!$B363)</f>
        <v/>
      </c>
      <c r="C363" s="31">
        <f>IF(A363="","",会员档案!$D363)</f>
        <v/>
      </c>
      <c r="D363" s="31">
        <f>IF(A363="","",会员档案!$F363)</f>
        <v/>
      </c>
      <c r="E363" s="58">
        <f>IF(A363="","",会员档案!$S363)</f>
        <v/>
      </c>
      <c r="F363" s="31">
        <f>IF(A363="","",会员档案!$T363)</f>
        <v/>
      </c>
      <c r="G363" s="31">
        <f>IF(A363="","",会员档案!$O363)</f>
        <v/>
      </c>
      <c r="H363" s="31">
        <f>IF(A363="","",会员档案!$P363)</f>
        <v/>
      </c>
      <c r="I363" s="55" t="n"/>
      <c r="J363" s="11" t="n"/>
      <c r="K363" s="11" t="n"/>
    </row>
    <row r="364">
      <c r="A364" s="31">
        <f>IF(会员档案!$U364="沉睡客户",会员档案!$A364,"")</f>
        <v/>
      </c>
      <c r="B364" s="31">
        <f>IF(A364="","",会员档案!$B364)</f>
        <v/>
      </c>
      <c r="C364" s="31">
        <f>IF(A364="","",会员档案!$D364)</f>
        <v/>
      </c>
      <c r="D364" s="31">
        <f>IF(A364="","",会员档案!$F364)</f>
        <v/>
      </c>
      <c r="E364" s="58">
        <f>IF(A364="","",会员档案!$S364)</f>
        <v/>
      </c>
      <c r="F364" s="31">
        <f>IF(A364="","",会员档案!$T364)</f>
        <v/>
      </c>
      <c r="G364" s="31">
        <f>IF(A364="","",会员档案!$O364)</f>
        <v/>
      </c>
      <c r="H364" s="31">
        <f>IF(A364="","",会员档案!$P364)</f>
        <v/>
      </c>
      <c r="I364" s="55" t="n"/>
      <c r="J364" s="11" t="n"/>
      <c r="K364" s="11" t="n"/>
    </row>
    <row r="365">
      <c r="A365" s="31">
        <f>IF(会员档案!$U365="沉睡客户",会员档案!$A365,"")</f>
        <v/>
      </c>
      <c r="B365" s="31">
        <f>IF(A365="","",会员档案!$B365)</f>
        <v/>
      </c>
      <c r="C365" s="31">
        <f>IF(A365="","",会员档案!$D365)</f>
        <v/>
      </c>
      <c r="D365" s="31">
        <f>IF(A365="","",会员档案!$F365)</f>
        <v/>
      </c>
      <c r="E365" s="58">
        <f>IF(A365="","",会员档案!$S365)</f>
        <v/>
      </c>
      <c r="F365" s="31">
        <f>IF(A365="","",会员档案!$T365)</f>
        <v/>
      </c>
      <c r="G365" s="31">
        <f>IF(A365="","",会员档案!$O365)</f>
        <v/>
      </c>
      <c r="H365" s="31">
        <f>IF(A365="","",会员档案!$P365)</f>
        <v/>
      </c>
      <c r="I365" s="55" t="n"/>
      <c r="J365" s="11" t="n"/>
      <c r="K365" s="11" t="n"/>
    </row>
    <row r="366">
      <c r="A366" s="31">
        <f>IF(会员档案!$U366="沉睡客户",会员档案!$A366,"")</f>
        <v/>
      </c>
      <c r="B366" s="31">
        <f>IF(A366="","",会员档案!$B366)</f>
        <v/>
      </c>
      <c r="C366" s="31">
        <f>IF(A366="","",会员档案!$D366)</f>
        <v/>
      </c>
      <c r="D366" s="31">
        <f>IF(A366="","",会员档案!$F366)</f>
        <v/>
      </c>
      <c r="E366" s="58">
        <f>IF(A366="","",会员档案!$S366)</f>
        <v/>
      </c>
      <c r="F366" s="31">
        <f>IF(A366="","",会员档案!$T366)</f>
        <v/>
      </c>
      <c r="G366" s="31">
        <f>IF(A366="","",会员档案!$O366)</f>
        <v/>
      </c>
      <c r="H366" s="31">
        <f>IF(A366="","",会员档案!$P366)</f>
        <v/>
      </c>
      <c r="I366" s="55" t="n"/>
      <c r="J366" s="11" t="n"/>
      <c r="K366" s="11" t="n"/>
    </row>
    <row r="367">
      <c r="A367" s="31">
        <f>IF(会员档案!$U367="沉睡客户",会员档案!$A367,"")</f>
        <v/>
      </c>
      <c r="B367" s="31">
        <f>IF(A367="","",会员档案!$B367)</f>
        <v/>
      </c>
      <c r="C367" s="31">
        <f>IF(A367="","",会员档案!$D367)</f>
        <v/>
      </c>
      <c r="D367" s="31">
        <f>IF(A367="","",会员档案!$F367)</f>
        <v/>
      </c>
      <c r="E367" s="58">
        <f>IF(A367="","",会员档案!$S367)</f>
        <v/>
      </c>
      <c r="F367" s="31">
        <f>IF(A367="","",会员档案!$T367)</f>
        <v/>
      </c>
      <c r="G367" s="31">
        <f>IF(A367="","",会员档案!$O367)</f>
        <v/>
      </c>
      <c r="H367" s="31">
        <f>IF(A367="","",会员档案!$P367)</f>
        <v/>
      </c>
      <c r="I367" s="55" t="n"/>
      <c r="J367" s="11" t="n"/>
      <c r="K367" s="11" t="n"/>
    </row>
    <row r="368">
      <c r="A368" s="31">
        <f>IF(会员档案!$U368="沉睡客户",会员档案!$A368,"")</f>
        <v/>
      </c>
      <c r="B368" s="31">
        <f>IF(A368="","",会员档案!$B368)</f>
        <v/>
      </c>
      <c r="C368" s="31">
        <f>IF(A368="","",会员档案!$D368)</f>
        <v/>
      </c>
      <c r="D368" s="31">
        <f>IF(A368="","",会员档案!$F368)</f>
        <v/>
      </c>
      <c r="E368" s="58">
        <f>IF(A368="","",会员档案!$S368)</f>
        <v/>
      </c>
      <c r="F368" s="31">
        <f>IF(A368="","",会员档案!$T368)</f>
        <v/>
      </c>
      <c r="G368" s="31">
        <f>IF(A368="","",会员档案!$O368)</f>
        <v/>
      </c>
      <c r="H368" s="31">
        <f>IF(A368="","",会员档案!$P368)</f>
        <v/>
      </c>
      <c r="I368" s="55" t="n"/>
      <c r="J368" s="11" t="n"/>
      <c r="K368" s="11" t="n"/>
    </row>
    <row r="369">
      <c r="A369" s="31">
        <f>IF(会员档案!$U369="沉睡客户",会员档案!$A369,"")</f>
        <v/>
      </c>
      <c r="B369" s="31">
        <f>IF(A369="","",会员档案!$B369)</f>
        <v/>
      </c>
      <c r="C369" s="31">
        <f>IF(A369="","",会员档案!$D369)</f>
        <v/>
      </c>
      <c r="D369" s="31">
        <f>IF(A369="","",会员档案!$F369)</f>
        <v/>
      </c>
      <c r="E369" s="58">
        <f>IF(A369="","",会员档案!$S369)</f>
        <v/>
      </c>
      <c r="F369" s="31">
        <f>IF(A369="","",会员档案!$T369)</f>
        <v/>
      </c>
      <c r="G369" s="31">
        <f>IF(A369="","",会员档案!$O369)</f>
        <v/>
      </c>
      <c r="H369" s="31">
        <f>IF(A369="","",会员档案!$P369)</f>
        <v/>
      </c>
      <c r="I369" s="55" t="n"/>
      <c r="J369" s="11" t="n"/>
      <c r="K369" s="11" t="n"/>
    </row>
    <row r="370">
      <c r="A370" s="31">
        <f>IF(会员档案!$U370="沉睡客户",会员档案!$A370,"")</f>
        <v/>
      </c>
      <c r="B370" s="31">
        <f>IF(A370="","",会员档案!$B370)</f>
        <v/>
      </c>
      <c r="C370" s="31">
        <f>IF(A370="","",会员档案!$D370)</f>
        <v/>
      </c>
      <c r="D370" s="31">
        <f>IF(A370="","",会员档案!$F370)</f>
        <v/>
      </c>
      <c r="E370" s="58">
        <f>IF(A370="","",会员档案!$S370)</f>
        <v/>
      </c>
      <c r="F370" s="31">
        <f>IF(A370="","",会员档案!$T370)</f>
        <v/>
      </c>
      <c r="G370" s="31">
        <f>IF(A370="","",会员档案!$O370)</f>
        <v/>
      </c>
      <c r="H370" s="31">
        <f>IF(A370="","",会员档案!$P370)</f>
        <v/>
      </c>
      <c r="I370" s="55" t="n"/>
      <c r="J370" s="11" t="n"/>
      <c r="K370" s="11" t="n"/>
    </row>
    <row r="371">
      <c r="A371" s="31">
        <f>IF(会员档案!$U371="沉睡客户",会员档案!$A371,"")</f>
        <v/>
      </c>
      <c r="B371" s="31">
        <f>IF(A371="","",会员档案!$B371)</f>
        <v/>
      </c>
      <c r="C371" s="31">
        <f>IF(A371="","",会员档案!$D371)</f>
        <v/>
      </c>
      <c r="D371" s="31">
        <f>IF(A371="","",会员档案!$F371)</f>
        <v/>
      </c>
      <c r="E371" s="58">
        <f>IF(A371="","",会员档案!$S371)</f>
        <v/>
      </c>
      <c r="F371" s="31">
        <f>IF(A371="","",会员档案!$T371)</f>
        <v/>
      </c>
      <c r="G371" s="31">
        <f>IF(A371="","",会员档案!$O371)</f>
        <v/>
      </c>
      <c r="H371" s="31">
        <f>IF(A371="","",会员档案!$P371)</f>
        <v/>
      </c>
      <c r="I371" s="55" t="n"/>
      <c r="J371" s="11" t="n"/>
      <c r="K371" s="11" t="n"/>
    </row>
    <row r="372">
      <c r="A372" s="31">
        <f>IF(会员档案!$U372="沉睡客户",会员档案!$A372,"")</f>
        <v/>
      </c>
      <c r="B372" s="31">
        <f>IF(A372="","",会员档案!$B372)</f>
        <v/>
      </c>
      <c r="C372" s="31">
        <f>IF(A372="","",会员档案!$D372)</f>
        <v/>
      </c>
      <c r="D372" s="31">
        <f>IF(A372="","",会员档案!$F372)</f>
        <v/>
      </c>
      <c r="E372" s="58">
        <f>IF(A372="","",会员档案!$S372)</f>
        <v/>
      </c>
      <c r="F372" s="31">
        <f>IF(A372="","",会员档案!$T372)</f>
        <v/>
      </c>
      <c r="G372" s="31">
        <f>IF(A372="","",会员档案!$O372)</f>
        <v/>
      </c>
      <c r="H372" s="31">
        <f>IF(A372="","",会员档案!$P372)</f>
        <v/>
      </c>
      <c r="I372" s="55" t="n"/>
      <c r="J372" s="11" t="n"/>
      <c r="K372" s="11" t="n"/>
    </row>
    <row r="373">
      <c r="A373" s="31">
        <f>IF(会员档案!$U373="沉睡客户",会员档案!$A373,"")</f>
        <v/>
      </c>
      <c r="B373" s="31">
        <f>IF(A373="","",会员档案!$B373)</f>
        <v/>
      </c>
      <c r="C373" s="31">
        <f>IF(A373="","",会员档案!$D373)</f>
        <v/>
      </c>
      <c r="D373" s="31">
        <f>IF(A373="","",会员档案!$F373)</f>
        <v/>
      </c>
      <c r="E373" s="58">
        <f>IF(A373="","",会员档案!$S373)</f>
        <v/>
      </c>
      <c r="F373" s="31">
        <f>IF(A373="","",会员档案!$T373)</f>
        <v/>
      </c>
      <c r="G373" s="31">
        <f>IF(A373="","",会员档案!$O373)</f>
        <v/>
      </c>
      <c r="H373" s="31">
        <f>IF(A373="","",会员档案!$P373)</f>
        <v/>
      </c>
      <c r="I373" s="55" t="n"/>
      <c r="J373" s="11" t="n"/>
      <c r="K373" s="11" t="n"/>
    </row>
    <row r="374">
      <c r="A374" s="31">
        <f>IF(会员档案!$U374="沉睡客户",会员档案!$A374,"")</f>
        <v/>
      </c>
      <c r="B374" s="31">
        <f>IF(A374="","",会员档案!$B374)</f>
        <v/>
      </c>
      <c r="C374" s="31">
        <f>IF(A374="","",会员档案!$D374)</f>
        <v/>
      </c>
      <c r="D374" s="31">
        <f>IF(A374="","",会员档案!$F374)</f>
        <v/>
      </c>
      <c r="E374" s="58">
        <f>IF(A374="","",会员档案!$S374)</f>
        <v/>
      </c>
      <c r="F374" s="31">
        <f>IF(A374="","",会员档案!$T374)</f>
        <v/>
      </c>
      <c r="G374" s="31">
        <f>IF(A374="","",会员档案!$O374)</f>
        <v/>
      </c>
      <c r="H374" s="31">
        <f>IF(A374="","",会员档案!$P374)</f>
        <v/>
      </c>
      <c r="I374" s="55" t="n"/>
      <c r="J374" s="11" t="n"/>
      <c r="K374" s="11" t="n"/>
    </row>
    <row r="375">
      <c r="A375" s="31">
        <f>IF(会员档案!$U375="沉睡客户",会员档案!$A375,"")</f>
        <v/>
      </c>
      <c r="B375" s="31">
        <f>IF(A375="","",会员档案!$B375)</f>
        <v/>
      </c>
      <c r="C375" s="31">
        <f>IF(A375="","",会员档案!$D375)</f>
        <v/>
      </c>
      <c r="D375" s="31">
        <f>IF(A375="","",会员档案!$F375)</f>
        <v/>
      </c>
      <c r="E375" s="58">
        <f>IF(A375="","",会员档案!$S375)</f>
        <v/>
      </c>
      <c r="F375" s="31">
        <f>IF(A375="","",会员档案!$T375)</f>
        <v/>
      </c>
      <c r="G375" s="31">
        <f>IF(A375="","",会员档案!$O375)</f>
        <v/>
      </c>
      <c r="H375" s="31">
        <f>IF(A375="","",会员档案!$P375)</f>
        <v/>
      </c>
      <c r="I375" s="55" t="n"/>
      <c r="J375" s="11" t="n"/>
      <c r="K375" s="11" t="n"/>
    </row>
    <row r="376">
      <c r="A376" s="31">
        <f>IF(会员档案!$U376="沉睡客户",会员档案!$A376,"")</f>
        <v/>
      </c>
      <c r="B376" s="31">
        <f>IF(A376="","",会员档案!$B376)</f>
        <v/>
      </c>
      <c r="C376" s="31">
        <f>IF(A376="","",会员档案!$D376)</f>
        <v/>
      </c>
      <c r="D376" s="31">
        <f>IF(A376="","",会员档案!$F376)</f>
        <v/>
      </c>
      <c r="E376" s="58">
        <f>IF(A376="","",会员档案!$S376)</f>
        <v/>
      </c>
      <c r="F376" s="31">
        <f>IF(A376="","",会员档案!$T376)</f>
        <v/>
      </c>
      <c r="G376" s="31">
        <f>IF(A376="","",会员档案!$O376)</f>
        <v/>
      </c>
      <c r="H376" s="31">
        <f>IF(A376="","",会员档案!$P376)</f>
        <v/>
      </c>
      <c r="I376" s="55" t="n"/>
      <c r="J376" s="11" t="n"/>
      <c r="K376" s="11" t="n"/>
    </row>
    <row r="377">
      <c r="A377" s="31">
        <f>IF(会员档案!$U377="沉睡客户",会员档案!$A377,"")</f>
        <v/>
      </c>
      <c r="B377" s="31">
        <f>IF(A377="","",会员档案!$B377)</f>
        <v/>
      </c>
      <c r="C377" s="31">
        <f>IF(A377="","",会员档案!$D377)</f>
        <v/>
      </c>
      <c r="D377" s="31">
        <f>IF(A377="","",会员档案!$F377)</f>
        <v/>
      </c>
      <c r="E377" s="58">
        <f>IF(A377="","",会员档案!$S377)</f>
        <v/>
      </c>
      <c r="F377" s="31">
        <f>IF(A377="","",会员档案!$T377)</f>
        <v/>
      </c>
      <c r="G377" s="31">
        <f>IF(A377="","",会员档案!$O377)</f>
        <v/>
      </c>
      <c r="H377" s="31">
        <f>IF(A377="","",会员档案!$P377)</f>
        <v/>
      </c>
      <c r="I377" s="55" t="n"/>
      <c r="J377" s="11" t="n"/>
      <c r="K377" s="11" t="n"/>
    </row>
    <row r="378">
      <c r="A378" s="31">
        <f>IF(会员档案!$U378="沉睡客户",会员档案!$A378,"")</f>
        <v/>
      </c>
      <c r="B378" s="31">
        <f>IF(A378="","",会员档案!$B378)</f>
        <v/>
      </c>
      <c r="C378" s="31">
        <f>IF(A378="","",会员档案!$D378)</f>
        <v/>
      </c>
      <c r="D378" s="31">
        <f>IF(A378="","",会员档案!$F378)</f>
        <v/>
      </c>
      <c r="E378" s="58">
        <f>IF(A378="","",会员档案!$S378)</f>
        <v/>
      </c>
      <c r="F378" s="31">
        <f>IF(A378="","",会员档案!$T378)</f>
        <v/>
      </c>
      <c r="G378" s="31">
        <f>IF(A378="","",会员档案!$O378)</f>
        <v/>
      </c>
      <c r="H378" s="31">
        <f>IF(A378="","",会员档案!$P378)</f>
        <v/>
      </c>
      <c r="I378" s="55" t="n"/>
      <c r="J378" s="11" t="n"/>
      <c r="K378" s="11" t="n"/>
    </row>
    <row r="379">
      <c r="A379" s="31">
        <f>IF(会员档案!$U379="沉睡客户",会员档案!$A379,"")</f>
        <v/>
      </c>
      <c r="B379" s="31">
        <f>IF(A379="","",会员档案!$B379)</f>
        <v/>
      </c>
      <c r="C379" s="31">
        <f>IF(A379="","",会员档案!$D379)</f>
        <v/>
      </c>
      <c r="D379" s="31">
        <f>IF(A379="","",会员档案!$F379)</f>
        <v/>
      </c>
      <c r="E379" s="58">
        <f>IF(A379="","",会员档案!$S379)</f>
        <v/>
      </c>
      <c r="F379" s="31">
        <f>IF(A379="","",会员档案!$T379)</f>
        <v/>
      </c>
      <c r="G379" s="31">
        <f>IF(A379="","",会员档案!$O379)</f>
        <v/>
      </c>
      <c r="H379" s="31">
        <f>IF(A379="","",会员档案!$P379)</f>
        <v/>
      </c>
      <c r="I379" s="55" t="n"/>
      <c r="J379" s="11" t="n"/>
      <c r="K379" s="11" t="n"/>
    </row>
    <row r="380">
      <c r="A380" s="31">
        <f>IF(会员档案!$U380="沉睡客户",会员档案!$A380,"")</f>
        <v/>
      </c>
      <c r="B380" s="31">
        <f>IF(A380="","",会员档案!$B380)</f>
        <v/>
      </c>
      <c r="C380" s="31">
        <f>IF(A380="","",会员档案!$D380)</f>
        <v/>
      </c>
      <c r="D380" s="31">
        <f>IF(A380="","",会员档案!$F380)</f>
        <v/>
      </c>
      <c r="E380" s="58">
        <f>IF(A380="","",会员档案!$S380)</f>
        <v/>
      </c>
      <c r="F380" s="31">
        <f>IF(A380="","",会员档案!$T380)</f>
        <v/>
      </c>
      <c r="G380" s="31">
        <f>IF(A380="","",会员档案!$O380)</f>
        <v/>
      </c>
      <c r="H380" s="31">
        <f>IF(A380="","",会员档案!$P380)</f>
        <v/>
      </c>
      <c r="I380" s="55" t="n"/>
      <c r="J380" s="11" t="n"/>
      <c r="K380" s="11" t="n"/>
    </row>
    <row r="381">
      <c r="A381" s="31">
        <f>IF(会员档案!$U381="沉睡客户",会员档案!$A381,"")</f>
        <v/>
      </c>
      <c r="B381" s="31">
        <f>IF(A381="","",会员档案!$B381)</f>
        <v/>
      </c>
      <c r="C381" s="31">
        <f>IF(A381="","",会员档案!$D381)</f>
        <v/>
      </c>
      <c r="D381" s="31">
        <f>IF(A381="","",会员档案!$F381)</f>
        <v/>
      </c>
      <c r="E381" s="58">
        <f>IF(A381="","",会员档案!$S381)</f>
        <v/>
      </c>
      <c r="F381" s="31">
        <f>IF(A381="","",会员档案!$T381)</f>
        <v/>
      </c>
      <c r="G381" s="31">
        <f>IF(A381="","",会员档案!$O381)</f>
        <v/>
      </c>
      <c r="H381" s="31">
        <f>IF(A381="","",会员档案!$P381)</f>
        <v/>
      </c>
      <c r="I381" s="55" t="n"/>
      <c r="J381" s="11" t="n"/>
      <c r="K381" s="11" t="n"/>
    </row>
    <row r="382">
      <c r="A382" s="31">
        <f>IF(会员档案!$U382="沉睡客户",会员档案!$A382,"")</f>
        <v/>
      </c>
      <c r="B382" s="31">
        <f>IF(A382="","",会员档案!$B382)</f>
        <v/>
      </c>
      <c r="C382" s="31">
        <f>IF(A382="","",会员档案!$D382)</f>
        <v/>
      </c>
      <c r="D382" s="31">
        <f>IF(A382="","",会员档案!$F382)</f>
        <v/>
      </c>
      <c r="E382" s="58">
        <f>IF(A382="","",会员档案!$S382)</f>
        <v/>
      </c>
      <c r="F382" s="31">
        <f>IF(A382="","",会员档案!$T382)</f>
        <v/>
      </c>
      <c r="G382" s="31">
        <f>IF(A382="","",会员档案!$O382)</f>
        <v/>
      </c>
      <c r="H382" s="31">
        <f>IF(A382="","",会员档案!$P382)</f>
        <v/>
      </c>
      <c r="I382" s="55" t="n"/>
      <c r="J382" s="11" t="n"/>
      <c r="K382" s="11" t="n"/>
    </row>
    <row r="383">
      <c r="A383" s="31">
        <f>IF(会员档案!$U383="沉睡客户",会员档案!$A383,"")</f>
        <v/>
      </c>
      <c r="B383" s="31">
        <f>IF(A383="","",会员档案!$B383)</f>
        <v/>
      </c>
      <c r="C383" s="31">
        <f>IF(A383="","",会员档案!$D383)</f>
        <v/>
      </c>
      <c r="D383" s="31">
        <f>IF(A383="","",会员档案!$F383)</f>
        <v/>
      </c>
      <c r="E383" s="58">
        <f>IF(A383="","",会员档案!$S383)</f>
        <v/>
      </c>
      <c r="F383" s="31">
        <f>IF(A383="","",会员档案!$T383)</f>
        <v/>
      </c>
      <c r="G383" s="31">
        <f>IF(A383="","",会员档案!$O383)</f>
        <v/>
      </c>
      <c r="H383" s="31">
        <f>IF(A383="","",会员档案!$P383)</f>
        <v/>
      </c>
      <c r="I383" s="55" t="n"/>
      <c r="J383" s="11" t="n"/>
      <c r="K383" s="11" t="n"/>
    </row>
    <row r="384">
      <c r="A384" s="31">
        <f>IF(会员档案!$U384="沉睡客户",会员档案!$A384,"")</f>
        <v/>
      </c>
      <c r="B384" s="31">
        <f>IF(A384="","",会员档案!$B384)</f>
        <v/>
      </c>
      <c r="C384" s="31">
        <f>IF(A384="","",会员档案!$D384)</f>
        <v/>
      </c>
      <c r="D384" s="31">
        <f>IF(A384="","",会员档案!$F384)</f>
        <v/>
      </c>
      <c r="E384" s="58">
        <f>IF(A384="","",会员档案!$S384)</f>
        <v/>
      </c>
      <c r="F384" s="31">
        <f>IF(A384="","",会员档案!$T384)</f>
        <v/>
      </c>
      <c r="G384" s="31">
        <f>IF(A384="","",会员档案!$O384)</f>
        <v/>
      </c>
      <c r="H384" s="31">
        <f>IF(A384="","",会员档案!$P384)</f>
        <v/>
      </c>
      <c r="I384" s="55" t="n"/>
      <c r="J384" s="11" t="n"/>
      <c r="K384" s="11" t="n"/>
    </row>
    <row r="385">
      <c r="A385" s="31">
        <f>IF(会员档案!$U385="沉睡客户",会员档案!$A385,"")</f>
        <v/>
      </c>
      <c r="B385" s="31">
        <f>IF(A385="","",会员档案!$B385)</f>
        <v/>
      </c>
      <c r="C385" s="31">
        <f>IF(A385="","",会员档案!$D385)</f>
        <v/>
      </c>
      <c r="D385" s="31">
        <f>IF(A385="","",会员档案!$F385)</f>
        <v/>
      </c>
      <c r="E385" s="58">
        <f>IF(A385="","",会员档案!$S385)</f>
        <v/>
      </c>
      <c r="F385" s="31">
        <f>IF(A385="","",会员档案!$T385)</f>
        <v/>
      </c>
      <c r="G385" s="31">
        <f>IF(A385="","",会员档案!$O385)</f>
        <v/>
      </c>
      <c r="H385" s="31">
        <f>IF(A385="","",会员档案!$P385)</f>
        <v/>
      </c>
      <c r="I385" s="55" t="n"/>
      <c r="J385" s="11" t="n"/>
      <c r="K385" s="11" t="n"/>
    </row>
    <row r="386">
      <c r="A386" s="31">
        <f>IF(会员档案!$U386="沉睡客户",会员档案!$A386,"")</f>
        <v/>
      </c>
      <c r="B386" s="31">
        <f>IF(A386="","",会员档案!$B386)</f>
        <v/>
      </c>
      <c r="C386" s="31">
        <f>IF(A386="","",会员档案!$D386)</f>
        <v/>
      </c>
      <c r="D386" s="31">
        <f>IF(A386="","",会员档案!$F386)</f>
        <v/>
      </c>
      <c r="E386" s="58">
        <f>IF(A386="","",会员档案!$S386)</f>
        <v/>
      </c>
      <c r="F386" s="31">
        <f>IF(A386="","",会员档案!$T386)</f>
        <v/>
      </c>
      <c r="G386" s="31">
        <f>IF(A386="","",会员档案!$O386)</f>
        <v/>
      </c>
      <c r="H386" s="31">
        <f>IF(A386="","",会员档案!$P386)</f>
        <v/>
      </c>
      <c r="I386" s="55" t="n"/>
      <c r="J386" s="11" t="n"/>
      <c r="K386" s="11" t="n"/>
    </row>
    <row r="387">
      <c r="A387" s="31">
        <f>IF(会员档案!$U387="沉睡客户",会员档案!$A387,"")</f>
        <v/>
      </c>
      <c r="B387" s="31">
        <f>IF(A387="","",会员档案!$B387)</f>
        <v/>
      </c>
      <c r="C387" s="31">
        <f>IF(A387="","",会员档案!$D387)</f>
        <v/>
      </c>
      <c r="D387" s="31">
        <f>IF(A387="","",会员档案!$F387)</f>
        <v/>
      </c>
      <c r="E387" s="58">
        <f>IF(A387="","",会员档案!$S387)</f>
        <v/>
      </c>
      <c r="F387" s="31">
        <f>IF(A387="","",会员档案!$T387)</f>
        <v/>
      </c>
      <c r="G387" s="31">
        <f>IF(A387="","",会员档案!$O387)</f>
        <v/>
      </c>
      <c r="H387" s="31">
        <f>IF(A387="","",会员档案!$P387)</f>
        <v/>
      </c>
      <c r="I387" s="55" t="n"/>
      <c r="J387" s="11" t="n"/>
      <c r="K387" s="11" t="n"/>
    </row>
    <row r="388">
      <c r="A388" s="31">
        <f>IF(会员档案!$U388="沉睡客户",会员档案!$A388,"")</f>
        <v/>
      </c>
      <c r="B388" s="31">
        <f>IF(A388="","",会员档案!$B388)</f>
        <v/>
      </c>
      <c r="C388" s="31">
        <f>IF(A388="","",会员档案!$D388)</f>
        <v/>
      </c>
      <c r="D388" s="31">
        <f>IF(A388="","",会员档案!$F388)</f>
        <v/>
      </c>
      <c r="E388" s="58">
        <f>IF(A388="","",会员档案!$S388)</f>
        <v/>
      </c>
      <c r="F388" s="31">
        <f>IF(A388="","",会员档案!$T388)</f>
        <v/>
      </c>
      <c r="G388" s="31">
        <f>IF(A388="","",会员档案!$O388)</f>
        <v/>
      </c>
      <c r="H388" s="31">
        <f>IF(A388="","",会员档案!$P388)</f>
        <v/>
      </c>
      <c r="I388" s="55" t="n"/>
      <c r="J388" s="11" t="n"/>
      <c r="K388" s="11" t="n"/>
    </row>
    <row r="389">
      <c r="A389" s="31">
        <f>IF(会员档案!$U389="沉睡客户",会员档案!$A389,"")</f>
        <v/>
      </c>
      <c r="B389" s="31">
        <f>IF(A389="","",会员档案!$B389)</f>
        <v/>
      </c>
      <c r="C389" s="31">
        <f>IF(A389="","",会员档案!$D389)</f>
        <v/>
      </c>
      <c r="D389" s="31">
        <f>IF(A389="","",会员档案!$F389)</f>
        <v/>
      </c>
      <c r="E389" s="58">
        <f>IF(A389="","",会员档案!$S389)</f>
        <v/>
      </c>
      <c r="F389" s="31">
        <f>IF(A389="","",会员档案!$T389)</f>
        <v/>
      </c>
      <c r="G389" s="31">
        <f>IF(A389="","",会员档案!$O389)</f>
        <v/>
      </c>
      <c r="H389" s="31">
        <f>IF(A389="","",会员档案!$P389)</f>
        <v/>
      </c>
      <c r="I389" s="55" t="n"/>
      <c r="J389" s="11" t="n"/>
      <c r="K389" s="11" t="n"/>
    </row>
    <row r="390">
      <c r="A390" s="31">
        <f>IF(会员档案!$U390="沉睡客户",会员档案!$A390,"")</f>
        <v/>
      </c>
      <c r="B390" s="31">
        <f>IF(A390="","",会员档案!$B390)</f>
        <v/>
      </c>
      <c r="C390" s="31">
        <f>IF(A390="","",会员档案!$D390)</f>
        <v/>
      </c>
      <c r="D390" s="31">
        <f>IF(A390="","",会员档案!$F390)</f>
        <v/>
      </c>
      <c r="E390" s="58">
        <f>IF(A390="","",会员档案!$S390)</f>
        <v/>
      </c>
      <c r="F390" s="31">
        <f>IF(A390="","",会员档案!$T390)</f>
        <v/>
      </c>
      <c r="G390" s="31">
        <f>IF(A390="","",会员档案!$O390)</f>
        <v/>
      </c>
      <c r="H390" s="31">
        <f>IF(A390="","",会员档案!$P390)</f>
        <v/>
      </c>
      <c r="I390" s="55" t="n"/>
      <c r="J390" s="11" t="n"/>
      <c r="K390" s="11" t="n"/>
    </row>
    <row r="391">
      <c r="A391" s="31">
        <f>IF(会员档案!$U391="沉睡客户",会员档案!$A391,"")</f>
        <v/>
      </c>
      <c r="B391" s="31">
        <f>IF(A391="","",会员档案!$B391)</f>
        <v/>
      </c>
      <c r="C391" s="31">
        <f>IF(A391="","",会员档案!$D391)</f>
        <v/>
      </c>
      <c r="D391" s="31">
        <f>IF(A391="","",会员档案!$F391)</f>
        <v/>
      </c>
      <c r="E391" s="58">
        <f>IF(A391="","",会员档案!$S391)</f>
        <v/>
      </c>
      <c r="F391" s="31">
        <f>IF(A391="","",会员档案!$T391)</f>
        <v/>
      </c>
      <c r="G391" s="31">
        <f>IF(A391="","",会员档案!$O391)</f>
        <v/>
      </c>
      <c r="H391" s="31">
        <f>IF(A391="","",会员档案!$P391)</f>
        <v/>
      </c>
      <c r="I391" s="55" t="n"/>
      <c r="J391" s="11" t="n"/>
      <c r="K391" s="11" t="n"/>
    </row>
    <row r="392">
      <c r="A392" s="31">
        <f>IF(会员档案!$U392="沉睡客户",会员档案!$A392,"")</f>
        <v/>
      </c>
      <c r="B392" s="31">
        <f>IF(A392="","",会员档案!$B392)</f>
        <v/>
      </c>
      <c r="C392" s="31">
        <f>IF(A392="","",会员档案!$D392)</f>
        <v/>
      </c>
      <c r="D392" s="31">
        <f>IF(A392="","",会员档案!$F392)</f>
        <v/>
      </c>
      <c r="E392" s="58">
        <f>IF(A392="","",会员档案!$S392)</f>
        <v/>
      </c>
      <c r="F392" s="31">
        <f>IF(A392="","",会员档案!$T392)</f>
        <v/>
      </c>
      <c r="G392" s="31">
        <f>IF(A392="","",会员档案!$O392)</f>
        <v/>
      </c>
      <c r="H392" s="31">
        <f>IF(A392="","",会员档案!$P392)</f>
        <v/>
      </c>
      <c r="I392" s="55" t="n"/>
      <c r="J392" s="11" t="n"/>
      <c r="K392" s="11" t="n"/>
    </row>
    <row r="393">
      <c r="A393" s="31">
        <f>IF(会员档案!$U393="沉睡客户",会员档案!$A393,"")</f>
        <v/>
      </c>
      <c r="B393" s="31">
        <f>IF(A393="","",会员档案!$B393)</f>
        <v/>
      </c>
      <c r="C393" s="31">
        <f>IF(A393="","",会员档案!$D393)</f>
        <v/>
      </c>
      <c r="D393" s="31">
        <f>IF(A393="","",会员档案!$F393)</f>
        <v/>
      </c>
      <c r="E393" s="58">
        <f>IF(A393="","",会员档案!$S393)</f>
        <v/>
      </c>
      <c r="F393" s="31">
        <f>IF(A393="","",会员档案!$T393)</f>
        <v/>
      </c>
      <c r="G393" s="31">
        <f>IF(A393="","",会员档案!$O393)</f>
        <v/>
      </c>
      <c r="H393" s="31">
        <f>IF(A393="","",会员档案!$P393)</f>
        <v/>
      </c>
      <c r="I393" s="55" t="n"/>
      <c r="J393" s="11" t="n"/>
      <c r="K393" s="11" t="n"/>
    </row>
    <row r="394">
      <c r="A394" s="31">
        <f>IF(会员档案!$U394="沉睡客户",会员档案!$A394,"")</f>
        <v/>
      </c>
      <c r="B394" s="31">
        <f>IF(A394="","",会员档案!$B394)</f>
        <v/>
      </c>
      <c r="C394" s="31">
        <f>IF(A394="","",会员档案!$D394)</f>
        <v/>
      </c>
      <c r="D394" s="31">
        <f>IF(A394="","",会员档案!$F394)</f>
        <v/>
      </c>
      <c r="E394" s="58">
        <f>IF(A394="","",会员档案!$S394)</f>
        <v/>
      </c>
      <c r="F394" s="31">
        <f>IF(A394="","",会员档案!$T394)</f>
        <v/>
      </c>
      <c r="G394" s="31">
        <f>IF(A394="","",会员档案!$O394)</f>
        <v/>
      </c>
      <c r="H394" s="31">
        <f>IF(A394="","",会员档案!$P394)</f>
        <v/>
      </c>
      <c r="I394" s="55" t="n"/>
      <c r="J394" s="11" t="n"/>
      <c r="K394" s="11" t="n"/>
    </row>
    <row r="395">
      <c r="A395" s="31">
        <f>IF(会员档案!$U395="沉睡客户",会员档案!$A395,"")</f>
        <v/>
      </c>
      <c r="B395" s="31">
        <f>IF(A395="","",会员档案!$B395)</f>
        <v/>
      </c>
      <c r="C395" s="31">
        <f>IF(A395="","",会员档案!$D395)</f>
        <v/>
      </c>
      <c r="D395" s="31">
        <f>IF(A395="","",会员档案!$F395)</f>
        <v/>
      </c>
      <c r="E395" s="58">
        <f>IF(A395="","",会员档案!$S395)</f>
        <v/>
      </c>
      <c r="F395" s="31">
        <f>IF(A395="","",会员档案!$T395)</f>
        <v/>
      </c>
      <c r="G395" s="31">
        <f>IF(A395="","",会员档案!$O395)</f>
        <v/>
      </c>
      <c r="H395" s="31">
        <f>IF(A395="","",会员档案!$P395)</f>
        <v/>
      </c>
      <c r="I395" s="55" t="n"/>
      <c r="J395" s="11" t="n"/>
      <c r="K395" s="11" t="n"/>
    </row>
    <row r="396">
      <c r="A396" s="31">
        <f>IF(会员档案!$U396="沉睡客户",会员档案!$A396,"")</f>
        <v/>
      </c>
      <c r="B396" s="31">
        <f>IF(A396="","",会员档案!$B396)</f>
        <v/>
      </c>
      <c r="C396" s="31">
        <f>IF(A396="","",会员档案!$D396)</f>
        <v/>
      </c>
      <c r="D396" s="31">
        <f>IF(A396="","",会员档案!$F396)</f>
        <v/>
      </c>
      <c r="E396" s="58">
        <f>IF(A396="","",会员档案!$S396)</f>
        <v/>
      </c>
      <c r="F396" s="31">
        <f>IF(A396="","",会员档案!$T396)</f>
        <v/>
      </c>
      <c r="G396" s="31">
        <f>IF(A396="","",会员档案!$O396)</f>
        <v/>
      </c>
      <c r="H396" s="31">
        <f>IF(A396="","",会员档案!$P396)</f>
        <v/>
      </c>
      <c r="I396" s="55" t="n"/>
      <c r="J396" s="11" t="n"/>
      <c r="K396" s="11" t="n"/>
    </row>
    <row r="397">
      <c r="A397" s="31">
        <f>IF(会员档案!$U397="沉睡客户",会员档案!$A397,"")</f>
        <v/>
      </c>
      <c r="B397" s="31">
        <f>IF(A397="","",会员档案!$B397)</f>
        <v/>
      </c>
      <c r="C397" s="31">
        <f>IF(A397="","",会员档案!$D397)</f>
        <v/>
      </c>
      <c r="D397" s="31">
        <f>IF(A397="","",会员档案!$F397)</f>
        <v/>
      </c>
      <c r="E397" s="58">
        <f>IF(A397="","",会员档案!$S397)</f>
        <v/>
      </c>
      <c r="F397" s="31">
        <f>IF(A397="","",会员档案!$T397)</f>
        <v/>
      </c>
      <c r="G397" s="31">
        <f>IF(A397="","",会员档案!$O397)</f>
        <v/>
      </c>
      <c r="H397" s="31">
        <f>IF(A397="","",会员档案!$P397)</f>
        <v/>
      </c>
      <c r="I397" s="55" t="n"/>
      <c r="J397" s="11" t="n"/>
      <c r="K397" s="11" t="n"/>
    </row>
    <row r="398">
      <c r="A398" s="31">
        <f>IF(会员档案!$U398="沉睡客户",会员档案!$A398,"")</f>
        <v/>
      </c>
      <c r="B398" s="31">
        <f>IF(A398="","",会员档案!$B398)</f>
        <v/>
      </c>
      <c r="C398" s="31">
        <f>IF(A398="","",会员档案!$D398)</f>
        <v/>
      </c>
      <c r="D398" s="31">
        <f>IF(A398="","",会员档案!$F398)</f>
        <v/>
      </c>
      <c r="E398" s="58">
        <f>IF(A398="","",会员档案!$S398)</f>
        <v/>
      </c>
      <c r="F398" s="31">
        <f>IF(A398="","",会员档案!$T398)</f>
        <v/>
      </c>
      <c r="G398" s="31">
        <f>IF(A398="","",会员档案!$O398)</f>
        <v/>
      </c>
      <c r="H398" s="31">
        <f>IF(A398="","",会员档案!$P398)</f>
        <v/>
      </c>
      <c r="I398" s="55" t="n"/>
      <c r="J398" s="11" t="n"/>
      <c r="K398" s="11" t="n"/>
    </row>
    <row r="399">
      <c r="A399" s="31">
        <f>IF(会员档案!$U399="沉睡客户",会员档案!$A399,"")</f>
        <v/>
      </c>
      <c r="B399" s="31">
        <f>IF(A399="","",会员档案!$B399)</f>
        <v/>
      </c>
      <c r="C399" s="31">
        <f>IF(A399="","",会员档案!$D399)</f>
        <v/>
      </c>
      <c r="D399" s="31">
        <f>IF(A399="","",会员档案!$F399)</f>
        <v/>
      </c>
      <c r="E399" s="58">
        <f>IF(A399="","",会员档案!$S399)</f>
        <v/>
      </c>
      <c r="F399" s="31">
        <f>IF(A399="","",会员档案!$T399)</f>
        <v/>
      </c>
      <c r="G399" s="31">
        <f>IF(A399="","",会员档案!$O399)</f>
        <v/>
      </c>
      <c r="H399" s="31">
        <f>IF(A399="","",会员档案!$P399)</f>
        <v/>
      </c>
      <c r="I399" s="55" t="n"/>
      <c r="J399" s="11" t="n"/>
      <c r="K399" s="11" t="n"/>
    </row>
    <row r="400">
      <c r="A400" s="31">
        <f>IF(会员档案!$U400="沉睡客户",会员档案!$A400,"")</f>
        <v/>
      </c>
      <c r="B400" s="31">
        <f>IF(A400="","",会员档案!$B400)</f>
        <v/>
      </c>
      <c r="C400" s="31">
        <f>IF(A400="","",会员档案!$D400)</f>
        <v/>
      </c>
      <c r="D400" s="31">
        <f>IF(A400="","",会员档案!$F400)</f>
        <v/>
      </c>
      <c r="E400" s="58">
        <f>IF(A400="","",会员档案!$S400)</f>
        <v/>
      </c>
      <c r="F400" s="31">
        <f>IF(A400="","",会员档案!$T400)</f>
        <v/>
      </c>
      <c r="G400" s="31">
        <f>IF(A400="","",会员档案!$O400)</f>
        <v/>
      </c>
      <c r="H400" s="31">
        <f>IF(A400="","",会员档案!$P400)</f>
        <v/>
      </c>
      <c r="I400" s="55" t="n"/>
      <c r="J400" s="11" t="n"/>
      <c r="K400" s="11" t="n"/>
    </row>
    <row r="401">
      <c r="A401" s="31">
        <f>IF(会员档案!$U401="沉睡客户",会员档案!$A401,"")</f>
        <v/>
      </c>
      <c r="B401" s="31">
        <f>IF(A401="","",会员档案!$B401)</f>
        <v/>
      </c>
      <c r="C401" s="31">
        <f>IF(A401="","",会员档案!$D401)</f>
        <v/>
      </c>
      <c r="D401" s="31">
        <f>IF(A401="","",会员档案!$F401)</f>
        <v/>
      </c>
      <c r="E401" s="58">
        <f>IF(A401="","",会员档案!$S401)</f>
        <v/>
      </c>
      <c r="F401" s="31">
        <f>IF(A401="","",会员档案!$T401)</f>
        <v/>
      </c>
      <c r="G401" s="31">
        <f>IF(A401="","",会员档案!$O401)</f>
        <v/>
      </c>
      <c r="H401" s="31">
        <f>IF(A401="","",会员档案!$P401)</f>
        <v/>
      </c>
      <c r="I401" s="55" t="n"/>
      <c r="J401" s="11" t="n"/>
      <c r="K401" s="11" t="n"/>
    </row>
    <row r="402">
      <c r="A402" s="31">
        <f>IF(会员档案!$U402="沉睡客户",会员档案!$A402,"")</f>
        <v/>
      </c>
      <c r="B402" s="31">
        <f>IF(A402="","",会员档案!$B402)</f>
        <v/>
      </c>
      <c r="C402" s="31">
        <f>IF(A402="","",会员档案!$D402)</f>
        <v/>
      </c>
      <c r="D402" s="31">
        <f>IF(A402="","",会员档案!$F402)</f>
        <v/>
      </c>
      <c r="E402" s="58">
        <f>IF(A402="","",会员档案!$S402)</f>
        <v/>
      </c>
      <c r="F402" s="31">
        <f>IF(A402="","",会员档案!$T402)</f>
        <v/>
      </c>
      <c r="G402" s="31">
        <f>IF(A402="","",会员档案!$O402)</f>
        <v/>
      </c>
      <c r="H402" s="31">
        <f>IF(A402="","",会员档案!$P402)</f>
        <v/>
      </c>
      <c r="I402" s="55" t="n"/>
      <c r="J402" s="11" t="n"/>
      <c r="K402" s="11" t="n"/>
    </row>
    <row r="403">
      <c r="A403" s="31">
        <f>IF(会员档案!$U403="沉睡客户",会员档案!$A403,"")</f>
        <v/>
      </c>
      <c r="B403" s="31">
        <f>IF(A403="","",会员档案!$B403)</f>
        <v/>
      </c>
      <c r="C403" s="31">
        <f>IF(A403="","",会员档案!$D403)</f>
        <v/>
      </c>
      <c r="D403" s="31">
        <f>IF(A403="","",会员档案!$F403)</f>
        <v/>
      </c>
      <c r="E403" s="58">
        <f>IF(A403="","",会员档案!$S403)</f>
        <v/>
      </c>
      <c r="F403" s="31">
        <f>IF(A403="","",会员档案!$T403)</f>
        <v/>
      </c>
      <c r="G403" s="31">
        <f>IF(A403="","",会员档案!$O403)</f>
        <v/>
      </c>
      <c r="H403" s="31">
        <f>IF(A403="","",会员档案!$P403)</f>
        <v/>
      </c>
      <c r="I403" s="55" t="n"/>
      <c r="J403" s="11" t="n"/>
      <c r="K403" s="11" t="n"/>
    </row>
    <row r="404">
      <c r="A404" s="31">
        <f>IF(会员档案!$U404="沉睡客户",会员档案!$A404,"")</f>
        <v/>
      </c>
      <c r="B404" s="31">
        <f>IF(A404="","",会员档案!$B404)</f>
        <v/>
      </c>
      <c r="C404" s="31">
        <f>IF(A404="","",会员档案!$D404)</f>
        <v/>
      </c>
      <c r="D404" s="31">
        <f>IF(A404="","",会员档案!$F404)</f>
        <v/>
      </c>
      <c r="E404" s="58">
        <f>IF(A404="","",会员档案!$S404)</f>
        <v/>
      </c>
      <c r="F404" s="31">
        <f>IF(A404="","",会员档案!$T404)</f>
        <v/>
      </c>
      <c r="G404" s="31">
        <f>IF(A404="","",会员档案!$O404)</f>
        <v/>
      </c>
      <c r="H404" s="31">
        <f>IF(A404="","",会员档案!$P404)</f>
        <v/>
      </c>
      <c r="I404" s="55" t="n"/>
      <c r="J404" s="11" t="n"/>
      <c r="K404" s="11" t="n"/>
    </row>
    <row r="405">
      <c r="A405" s="31">
        <f>IF(会员档案!$U405="沉睡客户",会员档案!$A405,"")</f>
        <v/>
      </c>
      <c r="B405" s="31">
        <f>IF(A405="","",会员档案!$B405)</f>
        <v/>
      </c>
      <c r="C405" s="31">
        <f>IF(A405="","",会员档案!$D405)</f>
        <v/>
      </c>
      <c r="D405" s="31">
        <f>IF(A405="","",会员档案!$F405)</f>
        <v/>
      </c>
      <c r="E405" s="58">
        <f>IF(A405="","",会员档案!$S405)</f>
        <v/>
      </c>
      <c r="F405" s="31">
        <f>IF(A405="","",会员档案!$T405)</f>
        <v/>
      </c>
      <c r="G405" s="31">
        <f>IF(A405="","",会员档案!$O405)</f>
        <v/>
      </c>
      <c r="H405" s="31">
        <f>IF(A405="","",会员档案!$P405)</f>
        <v/>
      </c>
      <c r="I405" s="55" t="n"/>
      <c r="J405" s="11" t="n"/>
      <c r="K405" s="11" t="n"/>
    </row>
    <row r="406">
      <c r="A406" s="31">
        <f>IF(会员档案!$U406="沉睡客户",会员档案!$A406,"")</f>
        <v/>
      </c>
      <c r="B406" s="31">
        <f>IF(A406="","",会员档案!$B406)</f>
        <v/>
      </c>
      <c r="C406" s="31">
        <f>IF(A406="","",会员档案!$D406)</f>
        <v/>
      </c>
      <c r="D406" s="31">
        <f>IF(A406="","",会员档案!$F406)</f>
        <v/>
      </c>
      <c r="E406" s="58">
        <f>IF(A406="","",会员档案!$S406)</f>
        <v/>
      </c>
      <c r="F406" s="31">
        <f>IF(A406="","",会员档案!$T406)</f>
        <v/>
      </c>
      <c r="G406" s="31">
        <f>IF(A406="","",会员档案!$O406)</f>
        <v/>
      </c>
      <c r="H406" s="31">
        <f>IF(A406="","",会员档案!$P406)</f>
        <v/>
      </c>
      <c r="I406" s="55" t="n"/>
      <c r="J406" s="11" t="n"/>
      <c r="K406" s="11" t="n"/>
    </row>
    <row r="407">
      <c r="A407" s="31">
        <f>IF(会员档案!$U407="沉睡客户",会员档案!$A407,"")</f>
        <v/>
      </c>
      <c r="B407" s="31">
        <f>IF(A407="","",会员档案!$B407)</f>
        <v/>
      </c>
      <c r="C407" s="31">
        <f>IF(A407="","",会员档案!$D407)</f>
        <v/>
      </c>
      <c r="D407" s="31">
        <f>IF(A407="","",会员档案!$F407)</f>
        <v/>
      </c>
      <c r="E407" s="58">
        <f>IF(A407="","",会员档案!$S407)</f>
        <v/>
      </c>
      <c r="F407" s="31">
        <f>IF(A407="","",会员档案!$T407)</f>
        <v/>
      </c>
      <c r="G407" s="31">
        <f>IF(A407="","",会员档案!$O407)</f>
        <v/>
      </c>
      <c r="H407" s="31">
        <f>IF(A407="","",会员档案!$P407)</f>
        <v/>
      </c>
      <c r="I407" s="55" t="n"/>
      <c r="J407" s="11" t="n"/>
      <c r="K407" s="11" t="n"/>
    </row>
    <row r="408">
      <c r="A408" s="31">
        <f>IF(会员档案!$U408="沉睡客户",会员档案!$A408,"")</f>
        <v/>
      </c>
      <c r="B408" s="31">
        <f>IF(A408="","",会员档案!$B408)</f>
        <v/>
      </c>
      <c r="C408" s="31">
        <f>IF(A408="","",会员档案!$D408)</f>
        <v/>
      </c>
      <c r="D408" s="31">
        <f>IF(A408="","",会员档案!$F408)</f>
        <v/>
      </c>
      <c r="E408" s="58">
        <f>IF(A408="","",会员档案!$S408)</f>
        <v/>
      </c>
      <c r="F408" s="31">
        <f>IF(A408="","",会员档案!$T408)</f>
        <v/>
      </c>
      <c r="G408" s="31">
        <f>IF(A408="","",会员档案!$O408)</f>
        <v/>
      </c>
      <c r="H408" s="31">
        <f>IF(A408="","",会员档案!$P408)</f>
        <v/>
      </c>
      <c r="I408" s="55" t="n"/>
      <c r="J408" s="11" t="n"/>
      <c r="K408" s="11" t="n"/>
    </row>
    <row r="409">
      <c r="A409" s="31">
        <f>IF(会员档案!$U409="沉睡客户",会员档案!$A409,"")</f>
        <v/>
      </c>
      <c r="B409" s="31">
        <f>IF(A409="","",会员档案!$B409)</f>
        <v/>
      </c>
      <c r="C409" s="31">
        <f>IF(A409="","",会员档案!$D409)</f>
        <v/>
      </c>
      <c r="D409" s="31">
        <f>IF(A409="","",会员档案!$F409)</f>
        <v/>
      </c>
      <c r="E409" s="58">
        <f>IF(A409="","",会员档案!$S409)</f>
        <v/>
      </c>
      <c r="F409" s="31">
        <f>IF(A409="","",会员档案!$T409)</f>
        <v/>
      </c>
      <c r="G409" s="31">
        <f>IF(A409="","",会员档案!$O409)</f>
        <v/>
      </c>
      <c r="H409" s="31">
        <f>IF(A409="","",会员档案!$P409)</f>
        <v/>
      </c>
      <c r="I409" s="55" t="n"/>
      <c r="J409" s="11" t="n"/>
      <c r="K409" s="11" t="n"/>
    </row>
    <row r="410">
      <c r="A410" s="31">
        <f>IF(会员档案!$U410="沉睡客户",会员档案!$A410,"")</f>
        <v/>
      </c>
      <c r="B410" s="31">
        <f>IF(A410="","",会员档案!$B410)</f>
        <v/>
      </c>
      <c r="C410" s="31">
        <f>IF(A410="","",会员档案!$D410)</f>
        <v/>
      </c>
      <c r="D410" s="31">
        <f>IF(A410="","",会员档案!$F410)</f>
        <v/>
      </c>
      <c r="E410" s="58">
        <f>IF(A410="","",会员档案!$S410)</f>
        <v/>
      </c>
      <c r="F410" s="31">
        <f>IF(A410="","",会员档案!$T410)</f>
        <v/>
      </c>
      <c r="G410" s="31">
        <f>IF(A410="","",会员档案!$O410)</f>
        <v/>
      </c>
      <c r="H410" s="31">
        <f>IF(A410="","",会员档案!$P410)</f>
        <v/>
      </c>
      <c r="I410" s="55" t="n"/>
      <c r="J410" s="11" t="n"/>
      <c r="K410" s="11" t="n"/>
    </row>
    <row r="411">
      <c r="A411" s="31">
        <f>IF(会员档案!$U411="沉睡客户",会员档案!$A411,"")</f>
        <v/>
      </c>
      <c r="B411" s="31">
        <f>IF(A411="","",会员档案!$B411)</f>
        <v/>
      </c>
      <c r="C411" s="31">
        <f>IF(A411="","",会员档案!$D411)</f>
        <v/>
      </c>
      <c r="D411" s="31">
        <f>IF(A411="","",会员档案!$F411)</f>
        <v/>
      </c>
      <c r="E411" s="58">
        <f>IF(A411="","",会员档案!$S411)</f>
        <v/>
      </c>
      <c r="F411" s="31">
        <f>IF(A411="","",会员档案!$T411)</f>
        <v/>
      </c>
      <c r="G411" s="31">
        <f>IF(A411="","",会员档案!$O411)</f>
        <v/>
      </c>
      <c r="H411" s="31">
        <f>IF(A411="","",会员档案!$P411)</f>
        <v/>
      </c>
      <c r="I411" s="55" t="n"/>
      <c r="J411" s="11" t="n"/>
      <c r="K411" s="11" t="n"/>
    </row>
    <row r="412">
      <c r="A412" s="31">
        <f>IF(会员档案!$U412="沉睡客户",会员档案!$A412,"")</f>
        <v/>
      </c>
      <c r="B412" s="31">
        <f>IF(A412="","",会员档案!$B412)</f>
        <v/>
      </c>
      <c r="C412" s="31">
        <f>IF(A412="","",会员档案!$D412)</f>
        <v/>
      </c>
      <c r="D412" s="31">
        <f>IF(A412="","",会员档案!$F412)</f>
        <v/>
      </c>
      <c r="E412" s="58">
        <f>IF(A412="","",会员档案!$S412)</f>
        <v/>
      </c>
      <c r="F412" s="31">
        <f>IF(A412="","",会员档案!$T412)</f>
        <v/>
      </c>
      <c r="G412" s="31">
        <f>IF(A412="","",会员档案!$O412)</f>
        <v/>
      </c>
      <c r="H412" s="31">
        <f>IF(A412="","",会员档案!$P412)</f>
        <v/>
      </c>
      <c r="I412" s="55" t="n"/>
      <c r="J412" s="11" t="n"/>
      <c r="K412" s="11" t="n"/>
    </row>
    <row r="413">
      <c r="A413" s="31">
        <f>IF(会员档案!$U413="沉睡客户",会员档案!$A413,"")</f>
        <v/>
      </c>
      <c r="B413" s="31">
        <f>IF(A413="","",会员档案!$B413)</f>
        <v/>
      </c>
      <c r="C413" s="31">
        <f>IF(A413="","",会员档案!$D413)</f>
        <v/>
      </c>
      <c r="D413" s="31">
        <f>IF(A413="","",会员档案!$F413)</f>
        <v/>
      </c>
      <c r="E413" s="58">
        <f>IF(A413="","",会员档案!$S413)</f>
        <v/>
      </c>
      <c r="F413" s="31">
        <f>IF(A413="","",会员档案!$T413)</f>
        <v/>
      </c>
      <c r="G413" s="31">
        <f>IF(A413="","",会员档案!$O413)</f>
        <v/>
      </c>
      <c r="H413" s="31">
        <f>IF(A413="","",会员档案!$P413)</f>
        <v/>
      </c>
      <c r="I413" s="55" t="n"/>
      <c r="J413" s="11" t="n"/>
      <c r="K413" s="11" t="n"/>
    </row>
    <row r="414">
      <c r="A414" s="31">
        <f>IF(会员档案!$U414="沉睡客户",会员档案!$A414,"")</f>
        <v/>
      </c>
      <c r="B414" s="31">
        <f>IF(A414="","",会员档案!$B414)</f>
        <v/>
      </c>
      <c r="C414" s="31">
        <f>IF(A414="","",会员档案!$D414)</f>
        <v/>
      </c>
      <c r="D414" s="31">
        <f>IF(A414="","",会员档案!$F414)</f>
        <v/>
      </c>
      <c r="E414" s="58">
        <f>IF(A414="","",会员档案!$S414)</f>
        <v/>
      </c>
      <c r="F414" s="31">
        <f>IF(A414="","",会员档案!$T414)</f>
        <v/>
      </c>
      <c r="G414" s="31">
        <f>IF(A414="","",会员档案!$O414)</f>
        <v/>
      </c>
      <c r="H414" s="31">
        <f>IF(A414="","",会员档案!$P414)</f>
        <v/>
      </c>
      <c r="I414" s="55" t="n"/>
      <c r="J414" s="11" t="n"/>
      <c r="K414" s="11" t="n"/>
    </row>
    <row r="415">
      <c r="A415" s="31">
        <f>IF(会员档案!$U415="沉睡客户",会员档案!$A415,"")</f>
        <v/>
      </c>
      <c r="B415" s="31">
        <f>IF(A415="","",会员档案!$B415)</f>
        <v/>
      </c>
      <c r="C415" s="31">
        <f>IF(A415="","",会员档案!$D415)</f>
        <v/>
      </c>
      <c r="D415" s="31">
        <f>IF(A415="","",会员档案!$F415)</f>
        <v/>
      </c>
      <c r="E415" s="58">
        <f>IF(A415="","",会员档案!$S415)</f>
        <v/>
      </c>
      <c r="F415" s="31">
        <f>IF(A415="","",会员档案!$T415)</f>
        <v/>
      </c>
      <c r="G415" s="31">
        <f>IF(A415="","",会员档案!$O415)</f>
        <v/>
      </c>
      <c r="H415" s="31">
        <f>IF(A415="","",会员档案!$P415)</f>
        <v/>
      </c>
      <c r="I415" s="55" t="n"/>
      <c r="J415" s="11" t="n"/>
      <c r="K415" s="11" t="n"/>
    </row>
    <row r="416">
      <c r="A416" s="31">
        <f>IF(会员档案!$U416="沉睡客户",会员档案!$A416,"")</f>
        <v/>
      </c>
      <c r="B416" s="31">
        <f>IF(A416="","",会员档案!$B416)</f>
        <v/>
      </c>
      <c r="C416" s="31">
        <f>IF(A416="","",会员档案!$D416)</f>
        <v/>
      </c>
      <c r="D416" s="31">
        <f>IF(A416="","",会员档案!$F416)</f>
        <v/>
      </c>
      <c r="E416" s="58">
        <f>IF(A416="","",会员档案!$S416)</f>
        <v/>
      </c>
      <c r="F416" s="31">
        <f>IF(A416="","",会员档案!$T416)</f>
        <v/>
      </c>
      <c r="G416" s="31">
        <f>IF(A416="","",会员档案!$O416)</f>
        <v/>
      </c>
      <c r="H416" s="31">
        <f>IF(A416="","",会员档案!$P416)</f>
        <v/>
      </c>
      <c r="I416" s="55" t="n"/>
      <c r="J416" s="11" t="n"/>
      <c r="K416" s="11" t="n"/>
    </row>
    <row r="417">
      <c r="A417" s="31">
        <f>IF(会员档案!$U417="沉睡客户",会员档案!$A417,"")</f>
        <v/>
      </c>
      <c r="B417" s="31">
        <f>IF(A417="","",会员档案!$B417)</f>
        <v/>
      </c>
      <c r="C417" s="31">
        <f>IF(A417="","",会员档案!$D417)</f>
        <v/>
      </c>
      <c r="D417" s="31">
        <f>IF(A417="","",会员档案!$F417)</f>
        <v/>
      </c>
      <c r="E417" s="58">
        <f>IF(A417="","",会员档案!$S417)</f>
        <v/>
      </c>
      <c r="F417" s="31">
        <f>IF(A417="","",会员档案!$T417)</f>
        <v/>
      </c>
      <c r="G417" s="31">
        <f>IF(A417="","",会员档案!$O417)</f>
        <v/>
      </c>
      <c r="H417" s="31">
        <f>IF(A417="","",会员档案!$P417)</f>
        <v/>
      </c>
      <c r="I417" s="55" t="n"/>
      <c r="J417" s="11" t="n"/>
      <c r="K417" s="11" t="n"/>
    </row>
    <row r="418">
      <c r="A418" s="31">
        <f>IF(会员档案!$U418="沉睡客户",会员档案!$A418,"")</f>
        <v/>
      </c>
      <c r="B418" s="31">
        <f>IF(A418="","",会员档案!$B418)</f>
        <v/>
      </c>
      <c r="C418" s="31">
        <f>IF(A418="","",会员档案!$D418)</f>
        <v/>
      </c>
      <c r="D418" s="31">
        <f>IF(A418="","",会员档案!$F418)</f>
        <v/>
      </c>
      <c r="E418" s="58">
        <f>IF(A418="","",会员档案!$S418)</f>
        <v/>
      </c>
      <c r="F418" s="31">
        <f>IF(A418="","",会员档案!$T418)</f>
        <v/>
      </c>
      <c r="G418" s="31">
        <f>IF(A418="","",会员档案!$O418)</f>
        <v/>
      </c>
      <c r="H418" s="31">
        <f>IF(A418="","",会员档案!$P418)</f>
        <v/>
      </c>
      <c r="I418" s="55" t="n"/>
      <c r="J418" s="11" t="n"/>
      <c r="K418" s="11" t="n"/>
    </row>
    <row r="419">
      <c r="A419" s="31">
        <f>IF(会员档案!$U419="沉睡客户",会员档案!$A419,"")</f>
        <v/>
      </c>
      <c r="B419" s="31">
        <f>IF(A419="","",会员档案!$B419)</f>
        <v/>
      </c>
      <c r="C419" s="31">
        <f>IF(A419="","",会员档案!$D419)</f>
        <v/>
      </c>
      <c r="D419" s="31">
        <f>IF(A419="","",会员档案!$F419)</f>
        <v/>
      </c>
      <c r="E419" s="58">
        <f>IF(A419="","",会员档案!$S419)</f>
        <v/>
      </c>
      <c r="F419" s="31">
        <f>IF(A419="","",会员档案!$T419)</f>
        <v/>
      </c>
      <c r="G419" s="31">
        <f>IF(A419="","",会员档案!$O419)</f>
        <v/>
      </c>
      <c r="H419" s="31">
        <f>IF(A419="","",会员档案!$P419)</f>
        <v/>
      </c>
      <c r="I419" s="55" t="n"/>
      <c r="J419" s="11" t="n"/>
      <c r="K419" s="11" t="n"/>
    </row>
    <row r="420">
      <c r="A420" s="31">
        <f>IF(会员档案!$U420="沉睡客户",会员档案!$A420,"")</f>
        <v/>
      </c>
      <c r="B420" s="31">
        <f>IF(A420="","",会员档案!$B420)</f>
        <v/>
      </c>
      <c r="C420" s="31">
        <f>IF(A420="","",会员档案!$D420)</f>
        <v/>
      </c>
      <c r="D420" s="31">
        <f>IF(A420="","",会员档案!$F420)</f>
        <v/>
      </c>
      <c r="E420" s="58">
        <f>IF(A420="","",会员档案!$S420)</f>
        <v/>
      </c>
      <c r="F420" s="31">
        <f>IF(A420="","",会员档案!$T420)</f>
        <v/>
      </c>
      <c r="G420" s="31">
        <f>IF(A420="","",会员档案!$O420)</f>
        <v/>
      </c>
      <c r="H420" s="31">
        <f>IF(A420="","",会员档案!$P420)</f>
        <v/>
      </c>
      <c r="I420" s="55" t="n"/>
      <c r="J420" s="11" t="n"/>
      <c r="K420" s="11" t="n"/>
    </row>
    <row r="421">
      <c r="A421" s="31">
        <f>IF(会员档案!$U421="沉睡客户",会员档案!$A421,"")</f>
        <v/>
      </c>
      <c r="B421" s="31">
        <f>IF(A421="","",会员档案!$B421)</f>
        <v/>
      </c>
      <c r="C421" s="31">
        <f>IF(A421="","",会员档案!$D421)</f>
        <v/>
      </c>
      <c r="D421" s="31">
        <f>IF(A421="","",会员档案!$F421)</f>
        <v/>
      </c>
      <c r="E421" s="58">
        <f>IF(A421="","",会员档案!$S421)</f>
        <v/>
      </c>
      <c r="F421" s="31">
        <f>IF(A421="","",会员档案!$T421)</f>
        <v/>
      </c>
      <c r="G421" s="31">
        <f>IF(A421="","",会员档案!$O421)</f>
        <v/>
      </c>
      <c r="H421" s="31">
        <f>IF(A421="","",会员档案!$P421)</f>
        <v/>
      </c>
      <c r="I421" s="55" t="n"/>
      <c r="J421" s="11" t="n"/>
      <c r="K421" s="11" t="n"/>
    </row>
    <row r="422">
      <c r="A422" s="31">
        <f>IF(会员档案!$U422="沉睡客户",会员档案!$A422,"")</f>
        <v/>
      </c>
      <c r="B422" s="31">
        <f>IF(A422="","",会员档案!$B422)</f>
        <v/>
      </c>
      <c r="C422" s="31">
        <f>IF(A422="","",会员档案!$D422)</f>
        <v/>
      </c>
      <c r="D422" s="31">
        <f>IF(A422="","",会员档案!$F422)</f>
        <v/>
      </c>
      <c r="E422" s="58">
        <f>IF(A422="","",会员档案!$S422)</f>
        <v/>
      </c>
      <c r="F422" s="31">
        <f>IF(A422="","",会员档案!$T422)</f>
        <v/>
      </c>
      <c r="G422" s="31">
        <f>IF(A422="","",会员档案!$O422)</f>
        <v/>
      </c>
      <c r="H422" s="31">
        <f>IF(A422="","",会员档案!$P422)</f>
        <v/>
      </c>
      <c r="I422" s="55" t="n"/>
      <c r="J422" s="11" t="n"/>
      <c r="K422" s="11" t="n"/>
    </row>
    <row r="423">
      <c r="A423" s="31">
        <f>IF(会员档案!$U423="沉睡客户",会员档案!$A423,"")</f>
        <v/>
      </c>
      <c r="B423" s="31">
        <f>IF(A423="","",会员档案!$B423)</f>
        <v/>
      </c>
      <c r="C423" s="31">
        <f>IF(A423="","",会员档案!$D423)</f>
        <v/>
      </c>
      <c r="D423" s="31">
        <f>IF(A423="","",会员档案!$F423)</f>
        <v/>
      </c>
      <c r="E423" s="58">
        <f>IF(A423="","",会员档案!$S423)</f>
        <v/>
      </c>
      <c r="F423" s="31">
        <f>IF(A423="","",会员档案!$T423)</f>
        <v/>
      </c>
      <c r="G423" s="31">
        <f>IF(A423="","",会员档案!$O423)</f>
        <v/>
      </c>
      <c r="H423" s="31">
        <f>IF(A423="","",会员档案!$P423)</f>
        <v/>
      </c>
      <c r="I423" s="55" t="n"/>
      <c r="J423" s="11" t="n"/>
      <c r="K423" s="11" t="n"/>
    </row>
    <row r="424">
      <c r="A424" s="31">
        <f>IF(会员档案!$U424="沉睡客户",会员档案!$A424,"")</f>
        <v/>
      </c>
      <c r="B424" s="31">
        <f>IF(A424="","",会员档案!$B424)</f>
        <v/>
      </c>
      <c r="C424" s="31">
        <f>IF(A424="","",会员档案!$D424)</f>
        <v/>
      </c>
      <c r="D424" s="31">
        <f>IF(A424="","",会员档案!$F424)</f>
        <v/>
      </c>
      <c r="E424" s="58">
        <f>IF(A424="","",会员档案!$S424)</f>
        <v/>
      </c>
      <c r="F424" s="31">
        <f>IF(A424="","",会员档案!$T424)</f>
        <v/>
      </c>
      <c r="G424" s="31">
        <f>IF(A424="","",会员档案!$O424)</f>
        <v/>
      </c>
      <c r="H424" s="31">
        <f>IF(A424="","",会员档案!$P424)</f>
        <v/>
      </c>
      <c r="I424" s="55" t="n"/>
      <c r="J424" s="11" t="n"/>
      <c r="K424" s="11" t="n"/>
    </row>
    <row r="425">
      <c r="A425" s="31">
        <f>IF(会员档案!$U425="沉睡客户",会员档案!$A425,"")</f>
        <v/>
      </c>
      <c r="B425" s="31">
        <f>IF(A425="","",会员档案!$B425)</f>
        <v/>
      </c>
      <c r="C425" s="31">
        <f>IF(A425="","",会员档案!$D425)</f>
        <v/>
      </c>
      <c r="D425" s="31">
        <f>IF(A425="","",会员档案!$F425)</f>
        <v/>
      </c>
      <c r="E425" s="58">
        <f>IF(A425="","",会员档案!$S425)</f>
        <v/>
      </c>
      <c r="F425" s="31">
        <f>IF(A425="","",会员档案!$T425)</f>
        <v/>
      </c>
      <c r="G425" s="31">
        <f>IF(A425="","",会员档案!$O425)</f>
        <v/>
      </c>
      <c r="H425" s="31">
        <f>IF(A425="","",会员档案!$P425)</f>
        <v/>
      </c>
      <c r="I425" s="55" t="n"/>
      <c r="J425" s="11" t="n"/>
      <c r="K425" s="11" t="n"/>
    </row>
    <row r="426">
      <c r="A426" s="31">
        <f>IF(会员档案!$U426="沉睡客户",会员档案!$A426,"")</f>
        <v/>
      </c>
      <c r="B426" s="31">
        <f>IF(A426="","",会员档案!$B426)</f>
        <v/>
      </c>
      <c r="C426" s="31">
        <f>IF(A426="","",会员档案!$D426)</f>
        <v/>
      </c>
      <c r="D426" s="31">
        <f>IF(A426="","",会员档案!$F426)</f>
        <v/>
      </c>
      <c r="E426" s="58">
        <f>IF(A426="","",会员档案!$S426)</f>
        <v/>
      </c>
      <c r="F426" s="31">
        <f>IF(A426="","",会员档案!$T426)</f>
        <v/>
      </c>
      <c r="G426" s="31">
        <f>IF(A426="","",会员档案!$O426)</f>
        <v/>
      </c>
      <c r="H426" s="31">
        <f>IF(A426="","",会员档案!$P426)</f>
        <v/>
      </c>
      <c r="I426" s="55" t="n"/>
      <c r="J426" s="11" t="n"/>
      <c r="K426" s="11" t="n"/>
    </row>
    <row r="427">
      <c r="A427" s="31">
        <f>IF(会员档案!$U427="沉睡客户",会员档案!$A427,"")</f>
        <v/>
      </c>
      <c r="B427" s="31">
        <f>IF(A427="","",会员档案!$B427)</f>
        <v/>
      </c>
      <c r="C427" s="31">
        <f>IF(A427="","",会员档案!$D427)</f>
        <v/>
      </c>
      <c r="D427" s="31">
        <f>IF(A427="","",会员档案!$F427)</f>
        <v/>
      </c>
      <c r="E427" s="58">
        <f>IF(A427="","",会员档案!$S427)</f>
        <v/>
      </c>
      <c r="F427" s="31">
        <f>IF(A427="","",会员档案!$T427)</f>
        <v/>
      </c>
      <c r="G427" s="31">
        <f>IF(A427="","",会员档案!$O427)</f>
        <v/>
      </c>
      <c r="H427" s="31">
        <f>IF(A427="","",会员档案!$P427)</f>
        <v/>
      </c>
      <c r="I427" s="55" t="n"/>
      <c r="J427" s="11" t="n"/>
      <c r="K427" s="11" t="n"/>
    </row>
    <row r="428">
      <c r="A428" s="31">
        <f>IF(会员档案!$U428="沉睡客户",会员档案!$A428,"")</f>
        <v/>
      </c>
      <c r="B428" s="31">
        <f>IF(A428="","",会员档案!$B428)</f>
        <v/>
      </c>
      <c r="C428" s="31">
        <f>IF(A428="","",会员档案!$D428)</f>
        <v/>
      </c>
      <c r="D428" s="31">
        <f>IF(A428="","",会员档案!$F428)</f>
        <v/>
      </c>
      <c r="E428" s="58">
        <f>IF(A428="","",会员档案!$S428)</f>
        <v/>
      </c>
      <c r="F428" s="31">
        <f>IF(A428="","",会员档案!$T428)</f>
        <v/>
      </c>
      <c r="G428" s="31">
        <f>IF(A428="","",会员档案!$O428)</f>
        <v/>
      </c>
      <c r="H428" s="31">
        <f>IF(A428="","",会员档案!$P428)</f>
        <v/>
      </c>
      <c r="I428" s="55" t="n"/>
      <c r="J428" s="11" t="n"/>
      <c r="K428" s="11" t="n"/>
    </row>
    <row r="429">
      <c r="A429" s="31">
        <f>IF(会员档案!$U429="沉睡客户",会员档案!$A429,"")</f>
        <v/>
      </c>
      <c r="B429" s="31">
        <f>IF(A429="","",会员档案!$B429)</f>
        <v/>
      </c>
      <c r="C429" s="31">
        <f>IF(A429="","",会员档案!$D429)</f>
        <v/>
      </c>
      <c r="D429" s="31">
        <f>IF(A429="","",会员档案!$F429)</f>
        <v/>
      </c>
      <c r="E429" s="58">
        <f>IF(A429="","",会员档案!$S429)</f>
        <v/>
      </c>
      <c r="F429" s="31">
        <f>IF(A429="","",会员档案!$T429)</f>
        <v/>
      </c>
      <c r="G429" s="31">
        <f>IF(A429="","",会员档案!$O429)</f>
        <v/>
      </c>
      <c r="H429" s="31">
        <f>IF(A429="","",会员档案!$P429)</f>
        <v/>
      </c>
      <c r="I429" s="55" t="n"/>
      <c r="J429" s="11" t="n"/>
      <c r="K429" s="11" t="n"/>
    </row>
    <row r="430">
      <c r="A430" s="31">
        <f>IF(会员档案!$U430="沉睡客户",会员档案!$A430,"")</f>
        <v/>
      </c>
      <c r="B430" s="31">
        <f>IF(A430="","",会员档案!$B430)</f>
        <v/>
      </c>
      <c r="C430" s="31">
        <f>IF(A430="","",会员档案!$D430)</f>
        <v/>
      </c>
      <c r="D430" s="31">
        <f>IF(A430="","",会员档案!$F430)</f>
        <v/>
      </c>
      <c r="E430" s="58">
        <f>IF(A430="","",会员档案!$S430)</f>
        <v/>
      </c>
      <c r="F430" s="31">
        <f>IF(A430="","",会员档案!$T430)</f>
        <v/>
      </c>
      <c r="G430" s="31">
        <f>IF(A430="","",会员档案!$O430)</f>
        <v/>
      </c>
      <c r="H430" s="31">
        <f>IF(A430="","",会员档案!$P430)</f>
        <v/>
      </c>
      <c r="I430" s="55" t="n"/>
      <c r="J430" s="11" t="n"/>
      <c r="K430" s="11" t="n"/>
    </row>
    <row r="431">
      <c r="A431" s="31">
        <f>IF(会员档案!$U431="沉睡客户",会员档案!$A431,"")</f>
        <v/>
      </c>
      <c r="B431" s="31">
        <f>IF(A431="","",会员档案!$B431)</f>
        <v/>
      </c>
      <c r="C431" s="31">
        <f>IF(A431="","",会员档案!$D431)</f>
        <v/>
      </c>
      <c r="D431" s="31">
        <f>IF(A431="","",会员档案!$F431)</f>
        <v/>
      </c>
      <c r="E431" s="58">
        <f>IF(A431="","",会员档案!$S431)</f>
        <v/>
      </c>
      <c r="F431" s="31">
        <f>IF(A431="","",会员档案!$T431)</f>
        <v/>
      </c>
      <c r="G431" s="31">
        <f>IF(A431="","",会员档案!$O431)</f>
        <v/>
      </c>
      <c r="H431" s="31">
        <f>IF(A431="","",会员档案!$P431)</f>
        <v/>
      </c>
      <c r="I431" s="55" t="n"/>
      <c r="J431" s="11" t="n"/>
      <c r="K431" s="11" t="n"/>
    </row>
    <row r="432">
      <c r="A432" s="31">
        <f>IF(会员档案!$U432="沉睡客户",会员档案!$A432,"")</f>
        <v/>
      </c>
      <c r="B432" s="31">
        <f>IF(A432="","",会员档案!$B432)</f>
        <v/>
      </c>
      <c r="C432" s="31">
        <f>IF(A432="","",会员档案!$D432)</f>
        <v/>
      </c>
      <c r="D432" s="31">
        <f>IF(A432="","",会员档案!$F432)</f>
        <v/>
      </c>
      <c r="E432" s="58">
        <f>IF(A432="","",会员档案!$S432)</f>
        <v/>
      </c>
      <c r="F432" s="31">
        <f>IF(A432="","",会员档案!$T432)</f>
        <v/>
      </c>
      <c r="G432" s="31">
        <f>IF(A432="","",会员档案!$O432)</f>
        <v/>
      </c>
      <c r="H432" s="31">
        <f>IF(A432="","",会员档案!$P432)</f>
        <v/>
      </c>
      <c r="I432" s="55" t="n"/>
      <c r="J432" s="11" t="n"/>
      <c r="K432" s="11" t="n"/>
    </row>
    <row r="433">
      <c r="A433" s="31">
        <f>IF(会员档案!$U433="沉睡客户",会员档案!$A433,"")</f>
        <v/>
      </c>
      <c r="B433" s="31">
        <f>IF(A433="","",会员档案!$B433)</f>
        <v/>
      </c>
      <c r="C433" s="31">
        <f>IF(A433="","",会员档案!$D433)</f>
        <v/>
      </c>
      <c r="D433" s="31">
        <f>IF(A433="","",会员档案!$F433)</f>
        <v/>
      </c>
      <c r="E433" s="58">
        <f>IF(A433="","",会员档案!$S433)</f>
        <v/>
      </c>
      <c r="F433" s="31">
        <f>IF(A433="","",会员档案!$T433)</f>
        <v/>
      </c>
      <c r="G433" s="31">
        <f>IF(A433="","",会员档案!$O433)</f>
        <v/>
      </c>
      <c r="H433" s="31">
        <f>IF(A433="","",会员档案!$P433)</f>
        <v/>
      </c>
      <c r="I433" s="55" t="n"/>
      <c r="J433" s="11" t="n"/>
      <c r="K433" s="11" t="n"/>
    </row>
    <row r="434">
      <c r="A434" s="31">
        <f>IF(会员档案!$U434="沉睡客户",会员档案!$A434,"")</f>
        <v/>
      </c>
      <c r="B434" s="31">
        <f>IF(A434="","",会员档案!$B434)</f>
        <v/>
      </c>
      <c r="C434" s="31">
        <f>IF(A434="","",会员档案!$D434)</f>
        <v/>
      </c>
      <c r="D434" s="31">
        <f>IF(A434="","",会员档案!$F434)</f>
        <v/>
      </c>
      <c r="E434" s="58">
        <f>IF(A434="","",会员档案!$S434)</f>
        <v/>
      </c>
      <c r="F434" s="31">
        <f>IF(A434="","",会员档案!$T434)</f>
        <v/>
      </c>
      <c r="G434" s="31">
        <f>IF(A434="","",会员档案!$O434)</f>
        <v/>
      </c>
      <c r="H434" s="31">
        <f>IF(A434="","",会员档案!$P434)</f>
        <v/>
      </c>
      <c r="I434" s="55" t="n"/>
      <c r="J434" s="11" t="n"/>
      <c r="K434" s="11" t="n"/>
    </row>
    <row r="435">
      <c r="A435" s="31">
        <f>IF(会员档案!$U435="沉睡客户",会员档案!$A435,"")</f>
        <v/>
      </c>
      <c r="B435" s="31">
        <f>IF(A435="","",会员档案!$B435)</f>
        <v/>
      </c>
      <c r="C435" s="31">
        <f>IF(A435="","",会员档案!$D435)</f>
        <v/>
      </c>
      <c r="D435" s="31">
        <f>IF(A435="","",会员档案!$F435)</f>
        <v/>
      </c>
      <c r="E435" s="58">
        <f>IF(A435="","",会员档案!$S435)</f>
        <v/>
      </c>
      <c r="F435" s="31">
        <f>IF(A435="","",会员档案!$T435)</f>
        <v/>
      </c>
      <c r="G435" s="31">
        <f>IF(A435="","",会员档案!$O435)</f>
        <v/>
      </c>
      <c r="H435" s="31">
        <f>IF(A435="","",会员档案!$P435)</f>
        <v/>
      </c>
      <c r="I435" s="55" t="n"/>
      <c r="J435" s="11" t="n"/>
      <c r="K435" s="11" t="n"/>
    </row>
    <row r="436">
      <c r="A436" s="31">
        <f>IF(会员档案!$U436="沉睡客户",会员档案!$A436,"")</f>
        <v/>
      </c>
      <c r="B436" s="31">
        <f>IF(A436="","",会员档案!$B436)</f>
        <v/>
      </c>
      <c r="C436" s="31">
        <f>IF(A436="","",会员档案!$D436)</f>
        <v/>
      </c>
      <c r="D436" s="31">
        <f>IF(A436="","",会员档案!$F436)</f>
        <v/>
      </c>
      <c r="E436" s="58">
        <f>IF(A436="","",会员档案!$S436)</f>
        <v/>
      </c>
      <c r="F436" s="31">
        <f>IF(A436="","",会员档案!$T436)</f>
        <v/>
      </c>
      <c r="G436" s="31">
        <f>IF(A436="","",会员档案!$O436)</f>
        <v/>
      </c>
      <c r="H436" s="31">
        <f>IF(A436="","",会员档案!$P436)</f>
        <v/>
      </c>
      <c r="I436" s="55" t="n"/>
      <c r="J436" s="11" t="n"/>
      <c r="K436" s="11" t="n"/>
    </row>
    <row r="437">
      <c r="A437" s="31">
        <f>IF(会员档案!$U437="沉睡客户",会员档案!$A437,"")</f>
        <v/>
      </c>
      <c r="B437" s="31">
        <f>IF(A437="","",会员档案!$B437)</f>
        <v/>
      </c>
      <c r="C437" s="31">
        <f>IF(A437="","",会员档案!$D437)</f>
        <v/>
      </c>
      <c r="D437" s="31">
        <f>IF(A437="","",会员档案!$F437)</f>
        <v/>
      </c>
      <c r="E437" s="58">
        <f>IF(A437="","",会员档案!$S437)</f>
        <v/>
      </c>
      <c r="F437" s="31">
        <f>IF(A437="","",会员档案!$T437)</f>
        <v/>
      </c>
      <c r="G437" s="31">
        <f>IF(A437="","",会员档案!$O437)</f>
        <v/>
      </c>
      <c r="H437" s="31">
        <f>IF(A437="","",会员档案!$P437)</f>
        <v/>
      </c>
      <c r="I437" s="55" t="n"/>
      <c r="J437" s="11" t="n"/>
      <c r="K437" s="11" t="n"/>
    </row>
    <row r="438">
      <c r="A438" s="31">
        <f>IF(会员档案!$U438="沉睡客户",会员档案!$A438,"")</f>
        <v/>
      </c>
      <c r="B438" s="31">
        <f>IF(A438="","",会员档案!$B438)</f>
        <v/>
      </c>
      <c r="C438" s="31">
        <f>IF(A438="","",会员档案!$D438)</f>
        <v/>
      </c>
      <c r="D438" s="31">
        <f>IF(A438="","",会员档案!$F438)</f>
        <v/>
      </c>
      <c r="E438" s="58">
        <f>IF(A438="","",会员档案!$S438)</f>
        <v/>
      </c>
      <c r="F438" s="31">
        <f>IF(A438="","",会员档案!$T438)</f>
        <v/>
      </c>
      <c r="G438" s="31">
        <f>IF(A438="","",会员档案!$O438)</f>
        <v/>
      </c>
      <c r="H438" s="31">
        <f>IF(A438="","",会员档案!$P438)</f>
        <v/>
      </c>
      <c r="I438" s="55" t="n"/>
      <c r="J438" s="11" t="n"/>
      <c r="K438" s="11" t="n"/>
    </row>
    <row r="439">
      <c r="A439" s="31">
        <f>IF(会员档案!$U439="沉睡客户",会员档案!$A439,"")</f>
        <v/>
      </c>
      <c r="B439" s="31">
        <f>IF(A439="","",会员档案!$B439)</f>
        <v/>
      </c>
      <c r="C439" s="31">
        <f>IF(A439="","",会员档案!$D439)</f>
        <v/>
      </c>
      <c r="D439" s="31">
        <f>IF(A439="","",会员档案!$F439)</f>
        <v/>
      </c>
      <c r="E439" s="58">
        <f>IF(A439="","",会员档案!$S439)</f>
        <v/>
      </c>
      <c r="F439" s="31">
        <f>IF(A439="","",会员档案!$T439)</f>
        <v/>
      </c>
      <c r="G439" s="31">
        <f>IF(A439="","",会员档案!$O439)</f>
        <v/>
      </c>
      <c r="H439" s="31">
        <f>IF(A439="","",会员档案!$P439)</f>
        <v/>
      </c>
      <c r="I439" s="55" t="n"/>
      <c r="J439" s="11" t="n"/>
      <c r="K439" s="11" t="n"/>
    </row>
    <row r="440">
      <c r="A440" s="31">
        <f>IF(会员档案!$U440="沉睡客户",会员档案!$A440,"")</f>
        <v/>
      </c>
      <c r="B440" s="31">
        <f>IF(A440="","",会员档案!$B440)</f>
        <v/>
      </c>
      <c r="C440" s="31">
        <f>IF(A440="","",会员档案!$D440)</f>
        <v/>
      </c>
      <c r="D440" s="31">
        <f>IF(A440="","",会员档案!$F440)</f>
        <v/>
      </c>
      <c r="E440" s="58">
        <f>IF(A440="","",会员档案!$S440)</f>
        <v/>
      </c>
      <c r="F440" s="31">
        <f>IF(A440="","",会员档案!$T440)</f>
        <v/>
      </c>
      <c r="G440" s="31">
        <f>IF(A440="","",会员档案!$O440)</f>
        <v/>
      </c>
      <c r="H440" s="31">
        <f>IF(A440="","",会员档案!$P440)</f>
        <v/>
      </c>
      <c r="I440" s="55" t="n"/>
      <c r="J440" s="11" t="n"/>
      <c r="K440" s="11" t="n"/>
    </row>
    <row r="441">
      <c r="A441" s="31">
        <f>IF(会员档案!$U441="沉睡客户",会员档案!$A441,"")</f>
        <v/>
      </c>
      <c r="B441" s="31">
        <f>IF(A441="","",会员档案!$B441)</f>
        <v/>
      </c>
      <c r="C441" s="31">
        <f>IF(A441="","",会员档案!$D441)</f>
        <v/>
      </c>
      <c r="D441" s="31">
        <f>IF(A441="","",会员档案!$F441)</f>
        <v/>
      </c>
      <c r="E441" s="58">
        <f>IF(A441="","",会员档案!$S441)</f>
        <v/>
      </c>
      <c r="F441" s="31">
        <f>IF(A441="","",会员档案!$T441)</f>
        <v/>
      </c>
      <c r="G441" s="31">
        <f>IF(A441="","",会员档案!$O441)</f>
        <v/>
      </c>
      <c r="H441" s="31">
        <f>IF(A441="","",会员档案!$P441)</f>
        <v/>
      </c>
      <c r="I441" s="55" t="n"/>
      <c r="J441" s="11" t="n"/>
      <c r="K441" s="11" t="n"/>
    </row>
    <row r="442">
      <c r="A442" s="31">
        <f>IF(会员档案!$U442="沉睡客户",会员档案!$A442,"")</f>
        <v/>
      </c>
      <c r="B442" s="31">
        <f>IF(A442="","",会员档案!$B442)</f>
        <v/>
      </c>
      <c r="C442" s="31">
        <f>IF(A442="","",会员档案!$D442)</f>
        <v/>
      </c>
      <c r="D442" s="31">
        <f>IF(A442="","",会员档案!$F442)</f>
        <v/>
      </c>
      <c r="E442" s="58">
        <f>IF(A442="","",会员档案!$S442)</f>
        <v/>
      </c>
      <c r="F442" s="31">
        <f>IF(A442="","",会员档案!$T442)</f>
        <v/>
      </c>
      <c r="G442" s="31">
        <f>IF(A442="","",会员档案!$O442)</f>
        <v/>
      </c>
      <c r="H442" s="31">
        <f>IF(A442="","",会员档案!$P442)</f>
        <v/>
      </c>
      <c r="I442" s="55" t="n"/>
      <c r="J442" s="11" t="n"/>
      <c r="K442" s="11" t="n"/>
    </row>
    <row r="443">
      <c r="A443" s="31">
        <f>IF(会员档案!$U443="沉睡客户",会员档案!$A443,"")</f>
        <v/>
      </c>
      <c r="B443" s="31">
        <f>IF(A443="","",会员档案!$B443)</f>
        <v/>
      </c>
      <c r="C443" s="31">
        <f>IF(A443="","",会员档案!$D443)</f>
        <v/>
      </c>
      <c r="D443" s="31">
        <f>IF(A443="","",会员档案!$F443)</f>
        <v/>
      </c>
      <c r="E443" s="58">
        <f>IF(A443="","",会员档案!$S443)</f>
        <v/>
      </c>
      <c r="F443" s="31">
        <f>IF(A443="","",会员档案!$T443)</f>
        <v/>
      </c>
      <c r="G443" s="31">
        <f>IF(A443="","",会员档案!$O443)</f>
        <v/>
      </c>
      <c r="H443" s="31">
        <f>IF(A443="","",会员档案!$P443)</f>
        <v/>
      </c>
      <c r="I443" s="55" t="n"/>
      <c r="J443" s="11" t="n"/>
      <c r="K443" s="11" t="n"/>
    </row>
    <row r="444">
      <c r="A444" s="31">
        <f>IF(会员档案!$U444="沉睡客户",会员档案!$A444,"")</f>
        <v/>
      </c>
      <c r="B444" s="31">
        <f>IF(A444="","",会员档案!$B444)</f>
        <v/>
      </c>
      <c r="C444" s="31">
        <f>IF(A444="","",会员档案!$D444)</f>
        <v/>
      </c>
      <c r="D444" s="31">
        <f>IF(A444="","",会员档案!$F444)</f>
        <v/>
      </c>
      <c r="E444" s="58">
        <f>IF(A444="","",会员档案!$S444)</f>
        <v/>
      </c>
      <c r="F444" s="31">
        <f>IF(A444="","",会员档案!$T444)</f>
        <v/>
      </c>
      <c r="G444" s="31">
        <f>IF(A444="","",会员档案!$O444)</f>
        <v/>
      </c>
      <c r="H444" s="31">
        <f>IF(A444="","",会员档案!$P444)</f>
        <v/>
      </c>
      <c r="I444" s="55" t="n"/>
      <c r="J444" s="11" t="n"/>
      <c r="K444" s="11" t="n"/>
    </row>
    <row r="445">
      <c r="A445" s="31">
        <f>IF(会员档案!$U445="沉睡客户",会员档案!$A445,"")</f>
        <v/>
      </c>
      <c r="B445" s="31">
        <f>IF(A445="","",会员档案!$B445)</f>
        <v/>
      </c>
      <c r="C445" s="31">
        <f>IF(A445="","",会员档案!$D445)</f>
        <v/>
      </c>
      <c r="D445" s="31">
        <f>IF(A445="","",会员档案!$F445)</f>
        <v/>
      </c>
      <c r="E445" s="58">
        <f>IF(A445="","",会员档案!$S445)</f>
        <v/>
      </c>
      <c r="F445" s="31">
        <f>IF(A445="","",会员档案!$T445)</f>
        <v/>
      </c>
      <c r="G445" s="31">
        <f>IF(A445="","",会员档案!$O445)</f>
        <v/>
      </c>
      <c r="H445" s="31">
        <f>IF(A445="","",会员档案!$P445)</f>
        <v/>
      </c>
      <c r="I445" s="55" t="n"/>
      <c r="J445" s="11" t="n"/>
      <c r="K445" s="11" t="n"/>
    </row>
    <row r="446">
      <c r="A446" s="31">
        <f>IF(会员档案!$U446="沉睡客户",会员档案!$A446,"")</f>
        <v/>
      </c>
      <c r="B446" s="31">
        <f>IF(A446="","",会员档案!$B446)</f>
        <v/>
      </c>
      <c r="C446" s="31">
        <f>IF(A446="","",会员档案!$D446)</f>
        <v/>
      </c>
      <c r="D446" s="31">
        <f>IF(A446="","",会员档案!$F446)</f>
        <v/>
      </c>
      <c r="E446" s="58">
        <f>IF(A446="","",会员档案!$S446)</f>
        <v/>
      </c>
      <c r="F446" s="31">
        <f>IF(A446="","",会员档案!$T446)</f>
        <v/>
      </c>
      <c r="G446" s="31">
        <f>IF(A446="","",会员档案!$O446)</f>
        <v/>
      </c>
      <c r="H446" s="31">
        <f>IF(A446="","",会员档案!$P446)</f>
        <v/>
      </c>
      <c r="I446" s="55" t="n"/>
      <c r="J446" s="11" t="n"/>
      <c r="K446" s="11" t="n"/>
    </row>
    <row r="447">
      <c r="A447" s="31">
        <f>IF(会员档案!$U447="沉睡客户",会员档案!$A447,"")</f>
        <v/>
      </c>
      <c r="B447" s="31">
        <f>IF(A447="","",会员档案!$B447)</f>
        <v/>
      </c>
      <c r="C447" s="31">
        <f>IF(A447="","",会员档案!$D447)</f>
        <v/>
      </c>
      <c r="D447" s="31">
        <f>IF(A447="","",会员档案!$F447)</f>
        <v/>
      </c>
      <c r="E447" s="58">
        <f>IF(A447="","",会员档案!$S447)</f>
        <v/>
      </c>
      <c r="F447" s="31">
        <f>IF(A447="","",会员档案!$T447)</f>
        <v/>
      </c>
      <c r="G447" s="31">
        <f>IF(A447="","",会员档案!$O447)</f>
        <v/>
      </c>
      <c r="H447" s="31">
        <f>IF(A447="","",会员档案!$P447)</f>
        <v/>
      </c>
      <c r="I447" s="55" t="n"/>
      <c r="J447" s="11" t="n"/>
      <c r="K447" s="11" t="n"/>
    </row>
    <row r="448">
      <c r="A448" s="31">
        <f>IF(会员档案!$U448="沉睡客户",会员档案!$A448,"")</f>
        <v/>
      </c>
      <c r="B448" s="31">
        <f>IF(A448="","",会员档案!$B448)</f>
        <v/>
      </c>
      <c r="C448" s="31">
        <f>IF(A448="","",会员档案!$D448)</f>
        <v/>
      </c>
      <c r="D448" s="31">
        <f>IF(A448="","",会员档案!$F448)</f>
        <v/>
      </c>
      <c r="E448" s="58">
        <f>IF(A448="","",会员档案!$S448)</f>
        <v/>
      </c>
      <c r="F448" s="31">
        <f>IF(A448="","",会员档案!$T448)</f>
        <v/>
      </c>
      <c r="G448" s="31">
        <f>IF(A448="","",会员档案!$O448)</f>
        <v/>
      </c>
      <c r="H448" s="31">
        <f>IF(A448="","",会员档案!$P448)</f>
        <v/>
      </c>
      <c r="I448" s="55" t="n"/>
      <c r="J448" s="11" t="n"/>
      <c r="K448" s="11" t="n"/>
    </row>
    <row r="449">
      <c r="A449" s="31">
        <f>IF(会员档案!$U449="沉睡客户",会员档案!$A449,"")</f>
        <v/>
      </c>
      <c r="B449" s="31">
        <f>IF(A449="","",会员档案!$B449)</f>
        <v/>
      </c>
      <c r="C449" s="31">
        <f>IF(A449="","",会员档案!$D449)</f>
        <v/>
      </c>
      <c r="D449" s="31">
        <f>IF(A449="","",会员档案!$F449)</f>
        <v/>
      </c>
      <c r="E449" s="58">
        <f>IF(A449="","",会员档案!$S449)</f>
        <v/>
      </c>
      <c r="F449" s="31">
        <f>IF(A449="","",会员档案!$T449)</f>
        <v/>
      </c>
      <c r="G449" s="31">
        <f>IF(A449="","",会员档案!$O449)</f>
        <v/>
      </c>
      <c r="H449" s="31">
        <f>IF(A449="","",会员档案!$P449)</f>
        <v/>
      </c>
      <c r="I449" s="55" t="n"/>
      <c r="J449" s="11" t="n"/>
      <c r="K449" s="11" t="n"/>
    </row>
    <row r="450">
      <c r="A450" s="31">
        <f>IF(会员档案!$U450="沉睡客户",会员档案!$A450,"")</f>
        <v/>
      </c>
      <c r="B450" s="31">
        <f>IF(A450="","",会员档案!$B450)</f>
        <v/>
      </c>
      <c r="C450" s="31">
        <f>IF(A450="","",会员档案!$D450)</f>
        <v/>
      </c>
      <c r="D450" s="31">
        <f>IF(A450="","",会员档案!$F450)</f>
        <v/>
      </c>
      <c r="E450" s="58">
        <f>IF(A450="","",会员档案!$S450)</f>
        <v/>
      </c>
      <c r="F450" s="31">
        <f>IF(A450="","",会员档案!$T450)</f>
        <v/>
      </c>
      <c r="G450" s="31">
        <f>IF(A450="","",会员档案!$O450)</f>
        <v/>
      </c>
      <c r="H450" s="31">
        <f>IF(A450="","",会员档案!$P450)</f>
        <v/>
      </c>
      <c r="I450" s="55" t="n"/>
      <c r="J450" s="11" t="n"/>
      <c r="K450" s="11" t="n"/>
    </row>
    <row r="451">
      <c r="A451" s="31">
        <f>IF(会员档案!$U451="沉睡客户",会员档案!$A451,"")</f>
        <v/>
      </c>
      <c r="B451" s="31">
        <f>IF(A451="","",会员档案!$B451)</f>
        <v/>
      </c>
      <c r="C451" s="31">
        <f>IF(A451="","",会员档案!$D451)</f>
        <v/>
      </c>
      <c r="D451" s="31">
        <f>IF(A451="","",会员档案!$F451)</f>
        <v/>
      </c>
      <c r="E451" s="58">
        <f>IF(A451="","",会员档案!$S451)</f>
        <v/>
      </c>
      <c r="F451" s="31">
        <f>IF(A451="","",会员档案!$T451)</f>
        <v/>
      </c>
      <c r="G451" s="31">
        <f>IF(A451="","",会员档案!$O451)</f>
        <v/>
      </c>
      <c r="H451" s="31">
        <f>IF(A451="","",会员档案!$P451)</f>
        <v/>
      </c>
      <c r="I451" s="55" t="n"/>
      <c r="J451" s="11" t="n"/>
      <c r="K451" s="11" t="n"/>
    </row>
    <row r="452">
      <c r="A452" s="31">
        <f>IF(会员档案!$U452="沉睡客户",会员档案!$A452,"")</f>
        <v/>
      </c>
      <c r="B452" s="31">
        <f>IF(A452="","",会员档案!$B452)</f>
        <v/>
      </c>
      <c r="C452" s="31">
        <f>IF(A452="","",会员档案!$D452)</f>
        <v/>
      </c>
      <c r="D452" s="31">
        <f>IF(A452="","",会员档案!$F452)</f>
        <v/>
      </c>
      <c r="E452" s="58">
        <f>IF(A452="","",会员档案!$S452)</f>
        <v/>
      </c>
      <c r="F452" s="31">
        <f>IF(A452="","",会员档案!$T452)</f>
        <v/>
      </c>
      <c r="G452" s="31">
        <f>IF(A452="","",会员档案!$O452)</f>
        <v/>
      </c>
      <c r="H452" s="31">
        <f>IF(A452="","",会员档案!$P452)</f>
        <v/>
      </c>
      <c r="I452" s="55" t="n"/>
      <c r="J452" s="11" t="n"/>
      <c r="K452" s="11" t="n"/>
    </row>
    <row r="453">
      <c r="A453" s="31">
        <f>IF(会员档案!$U453="沉睡客户",会员档案!$A453,"")</f>
        <v/>
      </c>
      <c r="B453" s="31">
        <f>IF(A453="","",会员档案!$B453)</f>
        <v/>
      </c>
      <c r="C453" s="31">
        <f>IF(A453="","",会员档案!$D453)</f>
        <v/>
      </c>
      <c r="D453" s="31">
        <f>IF(A453="","",会员档案!$F453)</f>
        <v/>
      </c>
      <c r="E453" s="58">
        <f>IF(A453="","",会员档案!$S453)</f>
        <v/>
      </c>
      <c r="F453" s="31">
        <f>IF(A453="","",会员档案!$T453)</f>
        <v/>
      </c>
      <c r="G453" s="31">
        <f>IF(A453="","",会员档案!$O453)</f>
        <v/>
      </c>
      <c r="H453" s="31">
        <f>IF(A453="","",会员档案!$P453)</f>
        <v/>
      </c>
      <c r="I453" s="55" t="n"/>
      <c r="J453" s="11" t="n"/>
      <c r="K453" s="11" t="n"/>
    </row>
    <row r="454">
      <c r="A454" s="31">
        <f>IF(会员档案!$U454="沉睡客户",会员档案!$A454,"")</f>
        <v/>
      </c>
      <c r="B454" s="31">
        <f>IF(A454="","",会员档案!$B454)</f>
        <v/>
      </c>
      <c r="C454" s="31">
        <f>IF(A454="","",会员档案!$D454)</f>
        <v/>
      </c>
      <c r="D454" s="31">
        <f>IF(A454="","",会员档案!$F454)</f>
        <v/>
      </c>
      <c r="E454" s="58">
        <f>IF(A454="","",会员档案!$S454)</f>
        <v/>
      </c>
      <c r="F454" s="31">
        <f>IF(A454="","",会员档案!$T454)</f>
        <v/>
      </c>
      <c r="G454" s="31">
        <f>IF(A454="","",会员档案!$O454)</f>
        <v/>
      </c>
      <c r="H454" s="31">
        <f>IF(A454="","",会员档案!$P454)</f>
        <v/>
      </c>
      <c r="I454" s="55" t="n"/>
      <c r="J454" s="11" t="n"/>
      <c r="K454" s="11" t="n"/>
    </row>
    <row r="455">
      <c r="A455" s="31">
        <f>IF(会员档案!$U455="沉睡客户",会员档案!$A455,"")</f>
        <v/>
      </c>
      <c r="B455" s="31">
        <f>IF(A455="","",会员档案!$B455)</f>
        <v/>
      </c>
      <c r="C455" s="31">
        <f>IF(A455="","",会员档案!$D455)</f>
        <v/>
      </c>
      <c r="D455" s="31">
        <f>IF(A455="","",会员档案!$F455)</f>
        <v/>
      </c>
      <c r="E455" s="58">
        <f>IF(A455="","",会员档案!$S455)</f>
        <v/>
      </c>
      <c r="F455" s="31">
        <f>IF(A455="","",会员档案!$T455)</f>
        <v/>
      </c>
      <c r="G455" s="31">
        <f>IF(A455="","",会员档案!$O455)</f>
        <v/>
      </c>
      <c r="H455" s="31">
        <f>IF(A455="","",会员档案!$P455)</f>
        <v/>
      </c>
      <c r="I455" s="55" t="n"/>
      <c r="J455" s="11" t="n"/>
      <c r="K455" s="11" t="n"/>
    </row>
    <row r="456">
      <c r="A456" s="31">
        <f>IF(会员档案!$U456="沉睡客户",会员档案!$A456,"")</f>
        <v/>
      </c>
      <c r="B456" s="31">
        <f>IF(A456="","",会员档案!$B456)</f>
        <v/>
      </c>
      <c r="C456" s="31">
        <f>IF(A456="","",会员档案!$D456)</f>
        <v/>
      </c>
      <c r="D456" s="31">
        <f>IF(A456="","",会员档案!$F456)</f>
        <v/>
      </c>
      <c r="E456" s="58">
        <f>IF(A456="","",会员档案!$S456)</f>
        <v/>
      </c>
      <c r="F456" s="31">
        <f>IF(A456="","",会员档案!$T456)</f>
        <v/>
      </c>
      <c r="G456" s="31">
        <f>IF(A456="","",会员档案!$O456)</f>
        <v/>
      </c>
      <c r="H456" s="31">
        <f>IF(A456="","",会员档案!$P456)</f>
        <v/>
      </c>
      <c r="I456" s="55" t="n"/>
      <c r="J456" s="11" t="n"/>
      <c r="K456" s="11" t="n"/>
    </row>
    <row r="457">
      <c r="A457" s="31">
        <f>IF(会员档案!$U457="沉睡客户",会员档案!$A457,"")</f>
        <v/>
      </c>
      <c r="B457" s="31">
        <f>IF(A457="","",会员档案!$B457)</f>
        <v/>
      </c>
      <c r="C457" s="31">
        <f>IF(A457="","",会员档案!$D457)</f>
        <v/>
      </c>
      <c r="D457" s="31">
        <f>IF(A457="","",会员档案!$F457)</f>
        <v/>
      </c>
      <c r="E457" s="58">
        <f>IF(A457="","",会员档案!$S457)</f>
        <v/>
      </c>
      <c r="F457" s="31">
        <f>IF(A457="","",会员档案!$T457)</f>
        <v/>
      </c>
      <c r="G457" s="31">
        <f>IF(A457="","",会员档案!$O457)</f>
        <v/>
      </c>
      <c r="H457" s="31">
        <f>IF(A457="","",会员档案!$P457)</f>
        <v/>
      </c>
      <c r="I457" s="55" t="n"/>
      <c r="J457" s="11" t="n"/>
      <c r="K457" s="11" t="n"/>
    </row>
    <row r="458">
      <c r="A458" s="31">
        <f>IF(会员档案!$U458="沉睡客户",会员档案!$A458,"")</f>
        <v/>
      </c>
      <c r="B458" s="31">
        <f>IF(A458="","",会员档案!$B458)</f>
        <v/>
      </c>
      <c r="C458" s="31">
        <f>IF(A458="","",会员档案!$D458)</f>
        <v/>
      </c>
      <c r="D458" s="31">
        <f>IF(A458="","",会员档案!$F458)</f>
        <v/>
      </c>
      <c r="E458" s="58">
        <f>IF(A458="","",会员档案!$S458)</f>
        <v/>
      </c>
      <c r="F458" s="31">
        <f>IF(A458="","",会员档案!$T458)</f>
        <v/>
      </c>
      <c r="G458" s="31">
        <f>IF(A458="","",会员档案!$O458)</f>
        <v/>
      </c>
      <c r="H458" s="31">
        <f>IF(A458="","",会员档案!$P458)</f>
        <v/>
      </c>
      <c r="I458" s="55" t="n"/>
      <c r="J458" s="11" t="n"/>
      <c r="K458" s="11" t="n"/>
    </row>
    <row r="459">
      <c r="A459" s="31">
        <f>IF(会员档案!$U459="沉睡客户",会员档案!$A459,"")</f>
        <v/>
      </c>
      <c r="B459" s="31">
        <f>IF(A459="","",会员档案!$B459)</f>
        <v/>
      </c>
      <c r="C459" s="31">
        <f>IF(A459="","",会员档案!$D459)</f>
        <v/>
      </c>
      <c r="D459" s="31">
        <f>IF(A459="","",会员档案!$F459)</f>
        <v/>
      </c>
      <c r="E459" s="58">
        <f>IF(A459="","",会员档案!$S459)</f>
        <v/>
      </c>
      <c r="F459" s="31">
        <f>IF(A459="","",会员档案!$T459)</f>
        <v/>
      </c>
      <c r="G459" s="31">
        <f>IF(A459="","",会员档案!$O459)</f>
        <v/>
      </c>
      <c r="H459" s="31">
        <f>IF(A459="","",会员档案!$P459)</f>
        <v/>
      </c>
      <c r="I459" s="55" t="n"/>
      <c r="J459" s="11" t="n"/>
      <c r="K459" s="11" t="n"/>
    </row>
    <row r="460">
      <c r="A460" s="31">
        <f>IF(会员档案!$U460="沉睡客户",会员档案!$A460,"")</f>
        <v/>
      </c>
      <c r="B460" s="31">
        <f>IF(A460="","",会员档案!$B460)</f>
        <v/>
      </c>
      <c r="C460" s="31">
        <f>IF(A460="","",会员档案!$D460)</f>
        <v/>
      </c>
      <c r="D460" s="31">
        <f>IF(A460="","",会员档案!$F460)</f>
        <v/>
      </c>
      <c r="E460" s="58">
        <f>IF(A460="","",会员档案!$S460)</f>
        <v/>
      </c>
      <c r="F460" s="31">
        <f>IF(A460="","",会员档案!$T460)</f>
        <v/>
      </c>
      <c r="G460" s="31">
        <f>IF(A460="","",会员档案!$O460)</f>
        <v/>
      </c>
      <c r="H460" s="31">
        <f>IF(A460="","",会员档案!$P460)</f>
        <v/>
      </c>
      <c r="I460" s="55" t="n"/>
      <c r="J460" s="11" t="n"/>
      <c r="K460" s="11" t="n"/>
    </row>
    <row r="461">
      <c r="A461" s="31">
        <f>IF(会员档案!$U461="沉睡客户",会员档案!$A461,"")</f>
        <v/>
      </c>
      <c r="B461" s="31">
        <f>IF(A461="","",会员档案!$B461)</f>
        <v/>
      </c>
      <c r="C461" s="31">
        <f>IF(A461="","",会员档案!$D461)</f>
        <v/>
      </c>
      <c r="D461" s="31">
        <f>IF(A461="","",会员档案!$F461)</f>
        <v/>
      </c>
      <c r="E461" s="58">
        <f>IF(A461="","",会员档案!$S461)</f>
        <v/>
      </c>
      <c r="F461" s="31">
        <f>IF(A461="","",会员档案!$T461)</f>
        <v/>
      </c>
      <c r="G461" s="31">
        <f>IF(A461="","",会员档案!$O461)</f>
        <v/>
      </c>
      <c r="H461" s="31">
        <f>IF(A461="","",会员档案!$P461)</f>
        <v/>
      </c>
      <c r="I461" s="55" t="n"/>
      <c r="J461" s="11" t="n"/>
      <c r="K461" s="11" t="n"/>
    </row>
    <row r="462">
      <c r="A462" s="31">
        <f>IF(会员档案!$U462="沉睡客户",会员档案!$A462,"")</f>
        <v/>
      </c>
      <c r="B462" s="31">
        <f>IF(A462="","",会员档案!$B462)</f>
        <v/>
      </c>
      <c r="C462" s="31">
        <f>IF(A462="","",会员档案!$D462)</f>
        <v/>
      </c>
      <c r="D462" s="31">
        <f>IF(A462="","",会员档案!$F462)</f>
        <v/>
      </c>
      <c r="E462" s="58">
        <f>IF(A462="","",会员档案!$S462)</f>
        <v/>
      </c>
      <c r="F462" s="31">
        <f>IF(A462="","",会员档案!$T462)</f>
        <v/>
      </c>
      <c r="G462" s="31">
        <f>IF(A462="","",会员档案!$O462)</f>
        <v/>
      </c>
      <c r="H462" s="31">
        <f>IF(A462="","",会员档案!$P462)</f>
        <v/>
      </c>
      <c r="I462" s="55" t="n"/>
      <c r="J462" s="11" t="n"/>
      <c r="K462" s="11" t="n"/>
    </row>
    <row r="463">
      <c r="A463" s="31">
        <f>IF(会员档案!$U463="沉睡客户",会员档案!$A463,"")</f>
        <v/>
      </c>
      <c r="B463" s="31">
        <f>IF(A463="","",会员档案!$B463)</f>
        <v/>
      </c>
      <c r="C463" s="31">
        <f>IF(A463="","",会员档案!$D463)</f>
        <v/>
      </c>
      <c r="D463" s="31">
        <f>IF(A463="","",会员档案!$F463)</f>
        <v/>
      </c>
      <c r="E463" s="58">
        <f>IF(A463="","",会员档案!$S463)</f>
        <v/>
      </c>
      <c r="F463" s="31">
        <f>IF(A463="","",会员档案!$T463)</f>
        <v/>
      </c>
      <c r="G463" s="31">
        <f>IF(A463="","",会员档案!$O463)</f>
        <v/>
      </c>
      <c r="H463" s="31">
        <f>IF(A463="","",会员档案!$P463)</f>
        <v/>
      </c>
      <c r="I463" s="55" t="n"/>
      <c r="J463" s="11" t="n"/>
      <c r="K463" s="11" t="n"/>
    </row>
    <row r="464">
      <c r="A464" s="31">
        <f>IF(会员档案!$U464="沉睡客户",会员档案!$A464,"")</f>
        <v/>
      </c>
      <c r="B464" s="31">
        <f>IF(A464="","",会员档案!$B464)</f>
        <v/>
      </c>
      <c r="C464" s="31">
        <f>IF(A464="","",会员档案!$D464)</f>
        <v/>
      </c>
      <c r="D464" s="31">
        <f>IF(A464="","",会员档案!$F464)</f>
        <v/>
      </c>
      <c r="E464" s="58">
        <f>IF(A464="","",会员档案!$S464)</f>
        <v/>
      </c>
      <c r="F464" s="31">
        <f>IF(A464="","",会员档案!$T464)</f>
        <v/>
      </c>
      <c r="G464" s="31">
        <f>IF(A464="","",会员档案!$O464)</f>
        <v/>
      </c>
      <c r="H464" s="31">
        <f>IF(A464="","",会员档案!$P464)</f>
        <v/>
      </c>
      <c r="I464" s="55" t="n"/>
      <c r="J464" s="11" t="n"/>
      <c r="K464" s="11" t="n"/>
    </row>
    <row r="465">
      <c r="A465" s="31">
        <f>IF(会员档案!$U465="沉睡客户",会员档案!$A465,"")</f>
        <v/>
      </c>
      <c r="B465" s="31">
        <f>IF(A465="","",会员档案!$B465)</f>
        <v/>
      </c>
      <c r="C465" s="31">
        <f>IF(A465="","",会员档案!$D465)</f>
        <v/>
      </c>
      <c r="D465" s="31">
        <f>IF(A465="","",会员档案!$F465)</f>
        <v/>
      </c>
      <c r="E465" s="58">
        <f>IF(A465="","",会员档案!$S465)</f>
        <v/>
      </c>
      <c r="F465" s="31">
        <f>IF(A465="","",会员档案!$T465)</f>
        <v/>
      </c>
      <c r="G465" s="31">
        <f>IF(A465="","",会员档案!$O465)</f>
        <v/>
      </c>
      <c r="H465" s="31">
        <f>IF(A465="","",会员档案!$P465)</f>
        <v/>
      </c>
      <c r="I465" s="55" t="n"/>
      <c r="J465" s="11" t="n"/>
      <c r="K465" s="11" t="n"/>
    </row>
    <row r="466">
      <c r="A466" s="31">
        <f>IF(会员档案!$U466="沉睡客户",会员档案!$A466,"")</f>
        <v/>
      </c>
      <c r="B466" s="31">
        <f>IF(A466="","",会员档案!$B466)</f>
        <v/>
      </c>
      <c r="C466" s="31">
        <f>IF(A466="","",会员档案!$D466)</f>
        <v/>
      </c>
      <c r="D466" s="31">
        <f>IF(A466="","",会员档案!$F466)</f>
        <v/>
      </c>
      <c r="E466" s="58">
        <f>IF(A466="","",会员档案!$S466)</f>
        <v/>
      </c>
      <c r="F466" s="31">
        <f>IF(A466="","",会员档案!$T466)</f>
        <v/>
      </c>
      <c r="G466" s="31">
        <f>IF(A466="","",会员档案!$O466)</f>
        <v/>
      </c>
      <c r="H466" s="31">
        <f>IF(A466="","",会员档案!$P466)</f>
        <v/>
      </c>
      <c r="I466" s="55" t="n"/>
      <c r="J466" s="11" t="n"/>
      <c r="K466" s="11" t="n"/>
    </row>
    <row r="467">
      <c r="A467" s="31">
        <f>IF(会员档案!$U467="沉睡客户",会员档案!$A467,"")</f>
        <v/>
      </c>
      <c r="B467" s="31">
        <f>IF(A467="","",会员档案!$B467)</f>
        <v/>
      </c>
      <c r="C467" s="31">
        <f>IF(A467="","",会员档案!$D467)</f>
        <v/>
      </c>
      <c r="D467" s="31">
        <f>IF(A467="","",会员档案!$F467)</f>
        <v/>
      </c>
      <c r="E467" s="58">
        <f>IF(A467="","",会员档案!$S467)</f>
        <v/>
      </c>
      <c r="F467" s="31">
        <f>IF(A467="","",会员档案!$T467)</f>
        <v/>
      </c>
      <c r="G467" s="31">
        <f>IF(A467="","",会员档案!$O467)</f>
        <v/>
      </c>
      <c r="H467" s="31">
        <f>IF(A467="","",会员档案!$P467)</f>
        <v/>
      </c>
      <c r="I467" s="55" t="n"/>
      <c r="J467" s="11" t="n"/>
      <c r="K467" s="11" t="n"/>
    </row>
    <row r="468">
      <c r="A468" s="31">
        <f>IF(会员档案!$U468="沉睡客户",会员档案!$A468,"")</f>
        <v/>
      </c>
      <c r="B468" s="31">
        <f>IF(A468="","",会员档案!$B468)</f>
        <v/>
      </c>
      <c r="C468" s="31">
        <f>IF(A468="","",会员档案!$D468)</f>
        <v/>
      </c>
      <c r="D468" s="31">
        <f>IF(A468="","",会员档案!$F468)</f>
        <v/>
      </c>
      <c r="E468" s="58">
        <f>IF(A468="","",会员档案!$S468)</f>
        <v/>
      </c>
      <c r="F468" s="31">
        <f>IF(A468="","",会员档案!$T468)</f>
        <v/>
      </c>
      <c r="G468" s="31">
        <f>IF(A468="","",会员档案!$O468)</f>
        <v/>
      </c>
      <c r="H468" s="31">
        <f>IF(A468="","",会员档案!$P468)</f>
        <v/>
      </c>
      <c r="I468" s="55" t="n"/>
      <c r="J468" s="11" t="n"/>
      <c r="K468" s="11" t="n"/>
    </row>
    <row r="469">
      <c r="A469" s="31">
        <f>IF(会员档案!$U469="沉睡客户",会员档案!$A469,"")</f>
        <v/>
      </c>
      <c r="B469" s="31">
        <f>IF(A469="","",会员档案!$B469)</f>
        <v/>
      </c>
      <c r="C469" s="31">
        <f>IF(A469="","",会员档案!$D469)</f>
        <v/>
      </c>
      <c r="D469" s="31">
        <f>IF(A469="","",会员档案!$F469)</f>
        <v/>
      </c>
      <c r="E469" s="58">
        <f>IF(A469="","",会员档案!$S469)</f>
        <v/>
      </c>
      <c r="F469" s="31">
        <f>IF(A469="","",会员档案!$T469)</f>
        <v/>
      </c>
      <c r="G469" s="31">
        <f>IF(A469="","",会员档案!$O469)</f>
        <v/>
      </c>
      <c r="H469" s="31">
        <f>IF(A469="","",会员档案!$P469)</f>
        <v/>
      </c>
      <c r="I469" s="55" t="n"/>
      <c r="J469" s="11" t="n"/>
      <c r="K469" s="11" t="n"/>
    </row>
    <row r="470">
      <c r="A470" s="31">
        <f>IF(会员档案!$U470="沉睡客户",会员档案!$A470,"")</f>
        <v/>
      </c>
      <c r="B470" s="31">
        <f>IF(A470="","",会员档案!$B470)</f>
        <v/>
      </c>
      <c r="C470" s="31">
        <f>IF(A470="","",会员档案!$D470)</f>
        <v/>
      </c>
      <c r="D470" s="31">
        <f>IF(A470="","",会员档案!$F470)</f>
        <v/>
      </c>
      <c r="E470" s="58">
        <f>IF(A470="","",会员档案!$S470)</f>
        <v/>
      </c>
      <c r="F470" s="31">
        <f>IF(A470="","",会员档案!$T470)</f>
        <v/>
      </c>
      <c r="G470" s="31">
        <f>IF(A470="","",会员档案!$O470)</f>
        <v/>
      </c>
      <c r="H470" s="31">
        <f>IF(A470="","",会员档案!$P470)</f>
        <v/>
      </c>
      <c r="I470" s="55" t="n"/>
      <c r="J470" s="11" t="n"/>
      <c r="K470" s="11" t="n"/>
    </row>
    <row r="471">
      <c r="A471" s="31">
        <f>IF(会员档案!$U471="沉睡客户",会员档案!$A471,"")</f>
        <v/>
      </c>
      <c r="B471" s="31">
        <f>IF(A471="","",会员档案!$B471)</f>
        <v/>
      </c>
      <c r="C471" s="31">
        <f>IF(A471="","",会员档案!$D471)</f>
        <v/>
      </c>
      <c r="D471" s="31">
        <f>IF(A471="","",会员档案!$F471)</f>
        <v/>
      </c>
      <c r="E471" s="58">
        <f>IF(A471="","",会员档案!$S471)</f>
        <v/>
      </c>
      <c r="F471" s="31">
        <f>IF(A471="","",会员档案!$T471)</f>
        <v/>
      </c>
      <c r="G471" s="31">
        <f>IF(A471="","",会员档案!$O471)</f>
        <v/>
      </c>
      <c r="H471" s="31">
        <f>IF(A471="","",会员档案!$P471)</f>
        <v/>
      </c>
      <c r="I471" s="55" t="n"/>
      <c r="J471" s="11" t="n"/>
      <c r="K471" s="11" t="n"/>
    </row>
    <row r="472">
      <c r="A472" s="31">
        <f>IF(会员档案!$U472="沉睡客户",会员档案!$A472,"")</f>
        <v/>
      </c>
      <c r="B472" s="31">
        <f>IF(A472="","",会员档案!$B472)</f>
        <v/>
      </c>
      <c r="C472" s="31">
        <f>IF(A472="","",会员档案!$D472)</f>
        <v/>
      </c>
      <c r="D472" s="31">
        <f>IF(A472="","",会员档案!$F472)</f>
        <v/>
      </c>
      <c r="E472" s="58">
        <f>IF(A472="","",会员档案!$S472)</f>
        <v/>
      </c>
      <c r="F472" s="31">
        <f>IF(A472="","",会员档案!$T472)</f>
        <v/>
      </c>
      <c r="G472" s="31">
        <f>IF(A472="","",会员档案!$O472)</f>
        <v/>
      </c>
      <c r="H472" s="31">
        <f>IF(A472="","",会员档案!$P472)</f>
        <v/>
      </c>
      <c r="I472" s="55" t="n"/>
      <c r="J472" s="11" t="n"/>
      <c r="K472" s="11" t="n"/>
    </row>
    <row r="473">
      <c r="A473" s="31">
        <f>IF(会员档案!$U473="沉睡客户",会员档案!$A473,"")</f>
        <v/>
      </c>
      <c r="B473" s="31">
        <f>IF(A473="","",会员档案!$B473)</f>
        <v/>
      </c>
      <c r="C473" s="31">
        <f>IF(A473="","",会员档案!$D473)</f>
        <v/>
      </c>
      <c r="D473" s="31">
        <f>IF(A473="","",会员档案!$F473)</f>
        <v/>
      </c>
      <c r="E473" s="58">
        <f>IF(A473="","",会员档案!$S473)</f>
        <v/>
      </c>
      <c r="F473" s="31">
        <f>IF(A473="","",会员档案!$T473)</f>
        <v/>
      </c>
      <c r="G473" s="31">
        <f>IF(A473="","",会员档案!$O473)</f>
        <v/>
      </c>
      <c r="H473" s="31">
        <f>IF(A473="","",会员档案!$P473)</f>
        <v/>
      </c>
      <c r="I473" s="55" t="n"/>
      <c r="J473" s="11" t="n"/>
      <c r="K473" s="11" t="n"/>
    </row>
    <row r="474">
      <c r="A474" s="31">
        <f>IF(会员档案!$U474="沉睡客户",会员档案!$A474,"")</f>
        <v/>
      </c>
      <c r="B474" s="31">
        <f>IF(A474="","",会员档案!$B474)</f>
        <v/>
      </c>
      <c r="C474" s="31">
        <f>IF(A474="","",会员档案!$D474)</f>
        <v/>
      </c>
      <c r="D474" s="31">
        <f>IF(A474="","",会员档案!$F474)</f>
        <v/>
      </c>
      <c r="E474" s="58">
        <f>IF(A474="","",会员档案!$S474)</f>
        <v/>
      </c>
      <c r="F474" s="31">
        <f>IF(A474="","",会员档案!$T474)</f>
        <v/>
      </c>
      <c r="G474" s="31">
        <f>IF(A474="","",会员档案!$O474)</f>
        <v/>
      </c>
      <c r="H474" s="31">
        <f>IF(A474="","",会员档案!$P474)</f>
        <v/>
      </c>
      <c r="I474" s="55" t="n"/>
      <c r="J474" s="11" t="n"/>
      <c r="K474" s="11" t="n"/>
    </row>
    <row r="475">
      <c r="A475" s="31">
        <f>IF(会员档案!$U475="沉睡客户",会员档案!$A475,"")</f>
        <v/>
      </c>
      <c r="B475" s="31">
        <f>IF(A475="","",会员档案!$B475)</f>
        <v/>
      </c>
      <c r="C475" s="31">
        <f>IF(A475="","",会员档案!$D475)</f>
        <v/>
      </c>
      <c r="D475" s="31">
        <f>IF(A475="","",会员档案!$F475)</f>
        <v/>
      </c>
      <c r="E475" s="58">
        <f>IF(A475="","",会员档案!$S475)</f>
        <v/>
      </c>
      <c r="F475" s="31">
        <f>IF(A475="","",会员档案!$T475)</f>
        <v/>
      </c>
      <c r="G475" s="31">
        <f>IF(A475="","",会员档案!$O475)</f>
        <v/>
      </c>
      <c r="H475" s="31">
        <f>IF(A475="","",会员档案!$P475)</f>
        <v/>
      </c>
      <c r="I475" s="55" t="n"/>
      <c r="J475" s="11" t="n"/>
      <c r="K475" s="11" t="n"/>
    </row>
    <row r="476">
      <c r="A476" s="31">
        <f>IF(会员档案!$U476="沉睡客户",会员档案!$A476,"")</f>
        <v/>
      </c>
      <c r="B476" s="31">
        <f>IF(A476="","",会员档案!$B476)</f>
        <v/>
      </c>
      <c r="C476" s="31">
        <f>IF(A476="","",会员档案!$D476)</f>
        <v/>
      </c>
      <c r="D476" s="31">
        <f>IF(A476="","",会员档案!$F476)</f>
        <v/>
      </c>
      <c r="E476" s="58">
        <f>IF(A476="","",会员档案!$S476)</f>
        <v/>
      </c>
      <c r="F476" s="31">
        <f>IF(A476="","",会员档案!$T476)</f>
        <v/>
      </c>
      <c r="G476" s="31">
        <f>IF(A476="","",会员档案!$O476)</f>
        <v/>
      </c>
      <c r="H476" s="31">
        <f>IF(A476="","",会员档案!$P476)</f>
        <v/>
      </c>
      <c r="I476" s="55" t="n"/>
      <c r="J476" s="11" t="n"/>
      <c r="K476" s="11" t="n"/>
    </row>
    <row r="477">
      <c r="A477" s="31">
        <f>IF(会员档案!$U477="沉睡客户",会员档案!$A477,"")</f>
        <v/>
      </c>
      <c r="B477" s="31">
        <f>IF(A477="","",会员档案!$B477)</f>
        <v/>
      </c>
      <c r="C477" s="31">
        <f>IF(A477="","",会员档案!$D477)</f>
        <v/>
      </c>
      <c r="D477" s="31">
        <f>IF(A477="","",会员档案!$F477)</f>
        <v/>
      </c>
      <c r="E477" s="58">
        <f>IF(A477="","",会员档案!$S477)</f>
        <v/>
      </c>
      <c r="F477" s="31">
        <f>IF(A477="","",会员档案!$T477)</f>
        <v/>
      </c>
      <c r="G477" s="31">
        <f>IF(A477="","",会员档案!$O477)</f>
        <v/>
      </c>
      <c r="H477" s="31">
        <f>IF(A477="","",会员档案!$P477)</f>
        <v/>
      </c>
      <c r="I477" s="55" t="n"/>
      <c r="J477" s="11" t="n"/>
      <c r="K477" s="11" t="n"/>
    </row>
    <row r="478">
      <c r="A478" s="31">
        <f>IF(会员档案!$U478="沉睡客户",会员档案!$A478,"")</f>
        <v/>
      </c>
      <c r="B478" s="31">
        <f>IF(A478="","",会员档案!$B478)</f>
        <v/>
      </c>
      <c r="C478" s="31">
        <f>IF(A478="","",会员档案!$D478)</f>
        <v/>
      </c>
      <c r="D478" s="31">
        <f>IF(A478="","",会员档案!$F478)</f>
        <v/>
      </c>
      <c r="E478" s="58">
        <f>IF(A478="","",会员档案!$S478)</f>
        <v/>
      </c>
      <c r="F478" s="31">
        <f>IF(A478="","",会员档案!$T478)</f>
        <v/>
      </c>
      <c r="G478" s="31">
        <f>IF(A478="","",会员档案!$O478)</f>
        <v/>
      </c>
      <c r="H478" s="31">
        <f>IF(A478="","",会员档案!$P478)</f>
        <v/>
      </c>
      <c r="I478" s="55" t="n"/>
      <c r="J478" s="11" t="n"/>
      <c r="K478" s="11" t="n"/>
    </row>
    <row r="479">
      <c r="A479" s="31">
        <f>IF(会员档案!$U479="沉睡客户",会员档案!$A479,"")</f>
        <v/>
      </c>
      <c r="B479" s="31">
        <f>IF(A479="","",会员档案!$B479)</f>
        <v/>
      </c>
      <c r="C479" s="31">
        <f>IF(A479="","",会员档案!$D479)</f>
        <v/>
      </c>
      <c r="D479" s="31">
        <f>IF(A479="","",会员档案!$F479)</f>
        <v/>
      </c>
      <c r="E479" s="58">
        <f>IF(A479="","",会员档案!$S479)</f>
        <v/>
      </c>
      <c r="F479" s="31">
        <f>IF(A479="","",会员档案!$T479)</f>
        <v/>
      </c>
      <c r="G479" s="31">
        <f>IF(A479="","",会员档案!$O479)</f>
        <v/>
      </c>
      <c r="H479" s="31">
        <f>IF(A479="","",会员档案!$P479)</f>
        <v/>
      </c>
      <c r="I479" s="55" t="n"/>
      <c r="J479" s="11" t="n"/>
      <c r="K479" s="11" t="n"/>
    </row>
    <row r="480">
      <c r="A480" s="31">
        <f>IF(会员档案!$U480="沉睡客户",会员档案!$A480,"")</f>
        <v/>
      </c>
      <c r="B480" s="31">
        <f>IF(A480="","",会员档案!$B480)</f>
        <v/>
      </c>
      <c r="C480" s="31">
        <f>IF(A480="","",会员档案!$D480)</f>
        <v/>
      </c>
      <c r="D480" s="31">
        <f>IF(A480="","",会员档案!$F480)</f>
        <v/>
      </c>
      <c r="E480" s="58">
        <f>IF(A480="","",会员档案!$S480)</f>
        <v/>
      </c>
      <c r="F480" s="31">
        <f>IF(A480="","",会员档案!$T480)</f>
        <v/>
      </c>
      <c r="G480" s="31">
        <f>IF(A480="","",会员档案!$O480)</f>
        <v/>
      </c>
      <c r="H480" s="31">
        <f>IF(A480="","",会员档案!$P480)</f>
        <v/>
      </c>
      <c r="I480" s="55" t="n"/>
      <c r="J480" s="11" t="n"/>
      <c r="K480" s="11" t="n"/>
    </row>
    <row r="481">
      <c r="A481" s="31">
        <f>IF(会员档案!$U481="沉睡客户",会员档案!$A481,"")</f>
        <v/>
      </c>
      <c r="B481" s="31">
        <f>IF(A481="","",会员档案!$B481)</f>
        <v/>
      </c>
      <c r="C481" s="31">
        <f>IF(A481="","",会员档案!$D481)</f>
        <v/>
      </c>
      <c r="D481" s="31">
        <f>IF(A481="","",会员档案!$F481)</f>
        <v/>
      </c>
      <c r="E481" s="58">
        <f>IF(A481="","",会员档案!$S481)</f>
        <v/>
      </c>
      <c r="F481" s="31">
        <f>IF(A481="","",会员档案!$T481)</f>
        <v/>
      </c>
      <c r="G481" s="31">
        <f>IF(A481="","",会员档案!$O481)</f>
        <v/>
      </c>
      <c r="H481" s="31">
        <f>IF(A481="","",会员档案!$P481)</f>
        <v/>
      </c>
      <c r="I481" s="55" t="n"/>
      <c r="J481" s="11" t="n"/>
      <c r="K481" s="11" t="n"/>
    </row>
    <row r="482">
      <c r="A482" s="31">
        <f>IF(会员档案!$U482="沉睡客户",会员档案!$A482,"")</f>
        <v/>
      </c>
      <c r="B482" s="31">
        <f>IF(A482="","",会员档案!$B482)</f>
        <v/>
      </c>
      <c r="C482" s="31">
        <f>IF(A482="","",会员档案!$D482)</f>
        <v/>
      </c>
      <c r="D482" s="31">
        <f>IF(A482="","",会员档案!$F482)</f>
        <v/>
      </c>
      <c r="E482" s="58">
        <f>IF(A482="","",会员档案!$S482)</f>
        <v/>
      </c>
      <c r="F482" s="31">
        <f>IF(A482="","",会员档案!$T482)</f>
        <v/>
      </c>
      <c r="G482" s="31">
        <f>IF(A482="","",会员档案!$O482)</f>
        <v/>
      </c>
      <c r="H482" s="31">
        <f>IF(A482="","",会员档案!$P482)</f>
        <v/>
      </c>
      <c r="I482" s="55" t="n"/>
      <c r="J482" s="11" t="n"/>
      <c r="K482" s="11" t="n"/>
    </row>
    <row r="483">
      <c r="A483" s="31">
        <f>IF(会员档案!$U483="沉睡客户",会员档案!$A483,"")</f>
        <v/>
      </c>
      <c r="B483" s="31">
        <f>IF(A483="","",会员档案!$B483)</f>
        <v/>
      </c>
      <c r="C483" s="31">
        <f>IF(A483="","",会员档案!$D483)</f>
        <v/>
      </c>
      <c r="D483" s="31">
        <f>IF(A483="","",会员档案!$F483)</f>
        <v/>
      </c>
      <c r="E483" s="58">
        <f>IF(A483="","",会员档案!$S483)</f>
        <v/>
      </c>
      <c r="F483" s="31">
        <f>IF(A483="","",会员档案!$T483)</f>
        <v/>
      </c>
      <c r="G483" s="31">
        <f>IF(A483="","",会员档案!$O483)</f>
        <v/>
      </c>
      <c r="H483" s="31">
        <f>IF(A483="","",会员档案!$P483)</f>
        <v/>
      </c>
      <c r="I483" s="55" t="n"/>
      <c r="J483" s="11" t="n"/>
      <c r="K483" s="11" t="n"/>
    </row>
    <row r="484">
      <c r="A484" s="31">
        <f>IF(会员档案!$U484="沉睡客户",会员档案!$A484,"")</f>
        <v/>
      </c>
      <c r="B484" s="31">
        <f>IF(A484="","",会员档案!$B484)</f>
        <v/>
      </c>
      <c r="C484" s="31">
        <f>IF(A484="","",会员档案!$D484)</f>
        <v/>
      </c>
      <c r="D484" s="31">
        <f>IF(A484="","",会员档案!$F484)</f>
        <v/>
      </c>
      <c r="E484" s="58">
        <f>IF(A484="","",会员档案!$S484)</f>
        <v/>
      </c>
      <c r="F484" s="31">
        <f>IF(A484="","",会员档案!$T484)</f>
        <v/>
      </c>
      <c r="G484" s="31">
        <f>IF(A484="","",会员档案!$O484)</f>
        <v/>
      </c>
      <c r="H484" s="31">
        <f>IF(A484="","",会员档案!$P484)</f>
        <v/>
      </c>
      <c r="I484" s="55" t="n"/>
      <c r="J484" s="11" t="n"/>
      <c r="K484" s="11" t="n"/>
    </row>
    <row r="485">
      <c r="A485" s="31">
        <f>IF(会员档案!$U485="沉睡客户",会员档案!$A485,"")</f>
        <v/>
      </c>
      <c r="B485" s="31">
        <f>IF(A485="","",会员档案!$B485)</f>
        <v/>
      </c>
      <c r="C485" s="31">
        <f>IF(A485="","",会员档案!$D485)</f>
        <v/>
      </c>
      <c r="D485" s="31">
        <f>IF(A485="","",会员档案!$F485)</f>
        <v/>
      </c>
      <c r="E485" s="58">
        <f>IF(A485="","",会员档案!$S485)</f>
        <v/>
      </c>
      <c r="F485" s="31">
        <f>IF(A485="","",会员档案!$T485)</f>
        <v/>
      </c>
      <c r="G485" s="31">
        <f>IF(A485="","",会员档案!$O485)</f>
        <v/>
      </c>
      <c r="H485" s="31">
        <f>IF(A485="","",会员档案!$P485)</f>
        <v/>
      </c>
      <c r="I485" s="55" t="n"/>
      <c r="J485" s="11" t="n"/>
      <c r="K485" s="11" t="n"/>
    </row>
    <row r="486">
      <c r="A486" s="31">
        <f>IF(会员档案!$U486="沉睡客户",会员档案!$A486,"")</f>
        <v/>
      </c>
      <c r="B486" s="31">
        <f>IF(A486="","",会员档案!$B486)</f>
        <v/>
      </c>
      <c r="C486" s="31">
        <f>IF(A486="","",会员档案!$D486)</f>
        <v/>
      </c>
      <c r="D486" s="31">
        <f>IF(A486="","",会员档案!$F486)</f>
        <v/>
      </c>
      <c r="E486" s="58">
        <f>IF(A486="","",会员档案!$S486)</f>
        <v/>
      </c>
      <c r="F486" s="31">
        <f>IF(A486="","",会员档案!$T486)</f>
        <v/>
      </c>
      <c r="G486" s="31">
        <f>IF(A486="","",会员档案!$O486)</f>
        <v/>
      </c>
      <c r="H486" s="31">
        <f>IF(A486="","",会员档案!$P486)</f>
        <v/>
      </c>
      <c r="I486" s="55" t="n"/>
      <c r="J486" s="11" t="n"/>
      <c r="K486" s="11" t="n"/>
    </row>
    <row r="487">
      <c r="A487" s="31">
        <f>IF(会员档案!$U487="沉睡客户",会员档案!$A487,"")</f>
        <v/>
      </c>
      <c r="B487" s="31">
        <f>IF(A487="","",会员档案!$B487)</f>
        <v/>
      </c>
      <c r="C487" s="31">
        <f>IF(A487="","",会员档案!$D487)</f>
        <v/>
      </c>
      <c r="D487" s="31">
        <f>IF(A487="","",会员档案!$F487)</f>
        <v/>
      </c>
      <c r="E487" s="58">
        <f>IF(A487="","",会员档案!$S487)</f>
        <v/>
      </c>
      <c r="F487" s="31">
        <f>IF(A487="","",会员档案!$T487)</f>
        <v/>
      </c>
      <c r="G487" s="31">
        <f>IF(A487="","",会员档案!$O487)</f>
        <v/>
      </c>
      <c r="H487" s="31">
        <f>IF(A487="","",会员档案!$P487)</f>
        <v/>
      </c>
      <c r="I487" s="55" t="n"/>
      <c r="J487" s="11" t="n"/>
      <c r="K487" s="11" t="n"/>
    </row>
    <row r="488">
      <c r="A488" s="31">
        <f>IF(会员档案!$U488="沉睡客户",会员档案!$A488,"")</f>
        <v/>
      </c>
      <c r="B488" s="31">
        <f>IF(A488="","",会员档案!$B488)</f>
        <v/>
      </c>
      <c r="C488" s="31">
        <f>IF(A488="","",会员档案!$D488)</f>
        <v/>
      </c>
      <c r="D488" s="31">
        <f>IF(A488="","",会员档案!$F488)</f>
        <v/>
      </c>
      <c r="E488" s="58">
        <f>IF(A488="","",会员档案!$S488)</f>
        <v/>
      </c>
      <c r="F488" s="31">
        <f>IF(A488="","",会员档案!$T488)</f>
        <v/>
      </c>
      <c r="G488" s="31">
        <f>IF(A488="","",会员档案!$O488)</f>
        <v/>
      </c>
      <c r="H488" s="31">
        <f>IF(A488="","",会员档案!$P488)</f>
        <v/>
      </c>
      <c r="I488" s="55" t="n"/>
      <c r="J488" s="11" t="n"/>
      <c r="K488" s="11" t="n"/>
    </row>
    <row r="489">
      <c r="A489" s="31">
        <f>IF(会员档案!$U489="沉睡客户",会员档案!$A489,"")</f>
        <v/>
      </c>
      <c r="B489" s="31">
        <f>IF(A489="","",会员档案!$B489)</f>
        <v/>
      </c>
      <c r="C489" s="31">
        <f>IF(A489="","",会员档案!$D489)</f>
        <v/>
      </c>
      <c r="D489" s="31">
        <f>IF(A489="","",会员档案!$F489)</f>
        <v/>
      </c>
      <c r="E489" s="58">
        <f>IF(A489="","",会员档案!$S489)</f>
        <v/>
      </c>
      <c r="F489" s="31">
        <f>IF(A489="","",会员档案!$T489)</f>
        <v/>
      </c>
      <c r="G489" s="31">
        <f>IF(A489="","",会员档案!$O489)</f>
        <v/>
      </c>
      <c r="H489" s="31">
        <f>IF(A489="","",会员档案!$P489)</f>
        <v/>
      </c>
      <c r="I489" s="55" t="n"/>
      <c r="J489" s="11" t="n"/>
      <c r="K489" s="11" t="n"/>
    </row>
    <row r="490">
      <c r="A490" s="31">
        <f>IF(会员档案!$U490="沉睡客户",会员档案!$A490,"")</f>
        <v/>
      </c>
      <c r="B490" s="31">
        <f>IF(A490="","",会员档案!$B490)</f>
        <v/>
      </c>
      <c r="C490" s="31">
        <f>IF(A490="","",会员档案!$D490)</f>
        <v/>
      </c>
      <c r="D490" s="31">
        <f>IF(A490="","",会员档案!$F490)</f>
        <v/>
      </c>
      <c r="E490" s="58">
        <f>IF(A490="","",会员档案!$S490)</f>
        <v/>
      </c>
      <c r="F490" s="31">
        <f>IF(A490="","",会员档案!$T490)</f>
        <v/>
      </c>
      <c r="G490" s="31">
        <f>IF(A490="","",会员档案!$O490)</f>
        <v/>
      </c>
      <c r="H490" s="31">
        <f>IF(A490="","",会员档案!$P490)</f>
        <v/>
      </c>
      <c r="I490" s="55" t="n"/>
      <c r="J490" s="11" t="n"/>
      <c r="K490" s="11" t="n"/>
    </row>
    <row r="491">
      <c r="A491" s="31">
        <f>IF(会员档案!$U491="沉睡客户",会员档案!$A491,"")</f>
        <v/>
      </c>
      <c r="B491" s="31">
        <f>IF(A491="","",会员档案!$B491)</f>
        <v/>
      </c>
      <c r="C491" s="31">
        <f>IF(A491="","",会员档案!$D491)</f>
        <v/>
      </c>
      <c r="D491" s="31">
        <f>IF(A491="","",会员档案!$F491)</f>
        <v/>
      </c>
      <c r="E491" s="58">
        <f>IF(A491="","",会员档案!$S491)</f>
        <v/>
      </c>
      <c r="F491" s="31">
        <f>IF(A491="","",会员档案!$T491)</f>
        <v/>
      </c>
      <c r="G491" s="31">
        <f>IF(A491="","",会员档案!$O491)</f>
        <v/>
      </c>
      <c r="H491" s="31">
        <f>IF(A491="","",会员档案!$P491)</f>
        <v/>
      </c>
      <c r="I491" s="55" t="n"/>
      <c r="J491" s="11" t="n"/>
      <c r="K491" s="11" t="n"/>
    </row>
    <row r="492">
      <c r="A492" s="31">
        <f>IF(会员档案!$U492="沉睡客户",会员档案!$A492,"")</f>
        <v/>
      </c>
      <c r="B492" s="31">
        <f>IF(A492="","",会员档案!$B492)</f>
        <v/>
      </c>
      <c r="C492" s="31">
        <f>IF(A492="","",会员档案!$D492)</f>
        <v/>
      </c>
      <c r="D492" s="31">
        <f>IF(A492="","",会员档案!$F492)</f>
        <v/>
      </c>
      <c r="E492" s="58">
        <f>IF(A492="","",会员档案!$S492)</f>
        <v/>
      </c>
      <c r="F492" s="31">
        <f>IF(A492="","",会员档案!$T492)</f>
        <v/>
      </c>
      <c r="G492" s="31">
        <f>IF(A492="","",会员档案!$O492)</f>
        <v/>
      </c>
      <c r="H492" s="31">
        <f>IF(A492="","",会员档案!$P492)</f>
        <v/>
      </c>
      <c r="I492" s="55" t="n"/>
      <c r="J492" s="11" t="n"/>
      <c r="K492" s="11" t="n"/>
    </row>
    <row r="493">
      <c r="A493" s="31">
        <f>IF(会员档案!$U493="沉睡客户",会员档案!$A493,"")</f>
        <v/>
      </c>
      <c r="B493" s="31">
        <f>IF(A493="","",会员档案!$B493)</f>
        <v/>
      </c>
      <c r="C493" s="31">
        <f>IF(A493="","",会员档案!$D493)</f>
        <v/>
      </c>
      <c r="D493" s="31">
        <f>IF(A493="","",会员档案!$F493)</f>
        <v/>
      </c>
      <c r="E493" s="58">
        <f>IF(A493="","",会员档案!$S493)</f>
        <v/>
      </c>
      <c r="F493" s="31">
        <f>IF(A493="","",会员档案!$T493)</f>
        <v/>
      </c>
      <c r="G493" s="31">
        <f>IF(A493="","",会员档案!$O493)</f>
        <v/>
      </c>
      <c r="H493" s="31">
        <f>IF(A493="","",会员档案!$P493)</f>
        <v/>
      </c>
      <c r="I493" s="55" t="n"/>
      <c r="J493" s="11" t="n"/>
      <c r="K493" s="11" t="n"/>
    </row>
    <row r="494">
      <c r="A494" s="31">
        <f>IF(会员档案!$U494="沉睡客户",会员档案!$A494,"")</f>
        <v/>
      </c>
      <c r="B494" s="31">
        <f>IF(A494="","",会员档案!$B494)</f>
        <v/>
      </c>
      <c r="C494" s="31">
        <f>IF(A494="","",会员档案!$D494)</f>
        <v/>
      </c>
      <c r="D494" s="31">
        <f>IF(A494="","",会员档案!$F494)</f>
        <v/>
      </c>
      <c r="E494" s="58">
        <f>IF(A494="","",会员档案!$S494)</f>
        <v/>
      </c>
      <c r="F494" s="31">
        <f>IF(A494="","",会员档案!$T494)</f>
        <v/>
      </c>
      <c r="G494" s="31">
        <f>IF(A494="","",会员档案!$O494)</f>
        <v/>
      </c>
      <c r="H494" s="31">
        <f>IF(A494="","",会员档案!$P494)</f>
        <v/>
      </c>
      <c r="I494" s="55" t="n"/>
      <c r="J494" s="11" t="n"/>
      <c r="K494" s="11" t="n"/>
    </row>
    <row r="495">
      <c r="A495" s="31">
        <f>IF(会员档案!$U495="沉睡客户",会员档案!$A495,"")</f>
        <v/>
      </c>
      <c r="B495" s="31">
        <f>IF(A495="","",会员档案!$B495)</f>
        <v/>
      </c>
      <c r="C495" s="31">
        <f>IF(A495="","",会员档案!$D495)</f>
        <v/>
      </c>
      <c r="D495" s="31">
        <f>IF(A495="","",会员档案!$F495)</f>
        <v/>
      </c>
      <c r="E495" s="58">
        <f>IF(A495="","",会员档案!$S495)</f>
        <v/>
      </c>
      <c r="F495" s="31">
        <f>IF(A495="","",会员档案!$T495)</f>
        <v/>
      </c>
      <c r="G495" s="31">
        <f>IF(A495="","",会员档案!$O495)</f>
        <v/>
      </c>
      <c r="H495" s="31">
        <f>IF(A495="","",会员档案!$P495)</f>
        <v/>
      </c>
      <c r="I495" s="55" t="n"/>
      <c r="J495" s="11" t="n"/>
      <c r="K495" s="11" t="n"/>
    </row>
    <row r="496">
      <c r="A496" s="31">
        <f>IF(会员档案!$U496="沉睡客户",会员档案!$A496,"")</f>
        <v/>
      </c>
      <c r="B496" s="31">
        <f>IF(A496="","",会员档案!$B496)</f>
        <v/>
      </c>
      <c r="C496" s="31">
        <f>IF(A496="","",会员档案!$D496)</f>
        <v/>
      </c>
      <c r="D496" s="31">
        <f>IF(A496="","",会员档案!$F496)</f>
        <v/>
      </c>
      <c r="E496" s="58">
        <f>IF(A496="","",会员档案!$S496)</f>
        <v/>
      </c>
      <c r="F496" s="31">
        <f>IF(A496="","",会员档案!$T496)</f>
        <v/>
      </c>
      <c r="G496" s="31">
        <f>IF(A496="","",会员档案!$O496)</f>
        <v/>
      </c>
      <c r="H496" s="31">
        <f>IF(A496="","",会员档案!$P496)</f>
        <v/>
      </c>
      <c r="I496" s="55" t="n"/>
      <c r="J496" s="11" t="n"/>
      <c r="K496" s="11" t="n"/>
    </row>
    <row r="497">
      <c r="A497" s="31">
        <f>IF(会员档案!$U497="沉睡客户",会员档案!$A497,"")</f>
        <v/>
      </c>
      <c r="B497" s="31">
        <f>IF(A497="","",会员档案!$B497)</f>
        <v/>
      </c>
      <c r="C497" s="31">
        <f>IF(A497="","",会员档案!$D497)</f>
        <v/>
      </c>
      <c r="D497" s="31">
        <f>IF(A497="","",会员档案!$F497)</f>
        <v/>
      </c>
      <c r="E497" s="58">
        <f>IF(A497="","",会员档案!$S497)</f>
        <v/>
      </c>
      <c r="F497" s="31">
        <f>IF(A497="","",会员档案!$T497)</f>
        <v/>
      </c>
      <c r="G497" s="31">
        <f>IF(A497="","",会员档案!$O497)</f>
        <v/>
      </c>
      <c r="H497" s="31">
        <f>IF(A497="","",会员档案!$P497)</f>
        <v/>
      </c>
      <c r="I497" s="55" t="n"/>
      <c r="J497" s="11" t="n"/>
      <c r="K497" s="11" t="n"/>
    </row>
    <row r="498">
      <c r="A498" s="31">
        <f>IF(会员档案!$U498="沉睡客户",会员档案!$A498,"")</f>
        <v/>
      </c>
      <c r="B498" s="31">
        <f>IF(A498="","",会员档案!$B498)</f>
        <v/>
      </c>
      <c r="C498" s="31">
        <f>IF(A498="","",会员档案!$D498)</f>
        <v/>
      </c>
      <c r="D498" s="31">
        <f>IF(A498="","",会员档案!$F498)</f>
        <v/>
      </c>
      <c r="E498" s="58">
        <f>IF(A498="","",会员档案!$S498)</f>
        <v/>
      </c>
      <c r="F498" s="31">
        <f>IF(A498="","",会员档案!$T498)</f>
        <v/>
      </c>
      <c r="G498" s="31">
        <f>IF(A498="","",会员档案!$O498)</f>
        <v/>
      </c>
      <c r="H498" s="31">
        <f>IF(A498="","",会员档案!$P498)</f>
        <v/>
      </c>
      <c r="I498" s="55" t="n"/>
      <c r="J498" s="11" t="n"/>
      <c r="K498" s="11" t="n"/>
    </row>
    <row r="499">
      <c r="A499" s="31">
        <f>IF(会员档案!$U499="沉睡客户",会员档案!$A499,"")</f>
        <v/>
      </c>
      <c r="B499" s="31">
        <f>IF(A499="","",会员档案!$B499)</f>
        <v/>
      </c>
      <c r="C499" s="31">
        <f>IF(A499="","",会员档案!$D499)</f>
        <v/>
      </c>
      <c r="D499" s="31">
        <f>IF(A499="","",会员档案!$F499)</f>
        <v/>
      </c>
      <c r="E499" s="58">
        <f>IF(A499="","",会员档案!$S499)</f>
        <v/>
      </c>
      <c r="F499" s="31">
        <f>IF(A499="","",会员档案!$T499)</f>
        <v/>
      </c>
      <c r="G499" s="31">
        <f>IF(A499="","",会员档案!$O499)</f>
        <v/>
      </c>
      <c r="H499" s="31">
        <f>IF(A499="","",会员档案!$P499)</f>
        <v/>
      </c>
      <c r="I499" s="55" t="n"/>
      <c r="J499" s="11" t="n"/>
      <c r="K499" s="11" t="n"/>
    </row>
  </sheetData>
  <autoFilter ref="A1:K499"/>
  <conditionalFormatting sqref="A2:K499">
    <cfRule type="expression" priority="1" dxfId="2">
      <formula>$A2&lt;&gt;""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7" sqref="B7"/>
    </sheetView>
  </sheetViews>
  <sheetFormatPr baseColWidth="8" defaultColWidth="9" defaultRowHeight="13.5" outlineLevelCol="0"/>
  <cols>
    <col width="18" customWidth="1" min="1" max="1"/>
    <col width="105.541666666667" customWidth="1" min="2" max="2"/>
  </cols>
  <sheetData>
    <row r="1">
      <c r="A1" s="1" t="inlineStr">
        <is>
          <t>项目</t>
        </is>
      </c>
      <c r="B1" s="1" t="inlineStr">
        <is>
          <t>操作</t>
        </is>
      </c>
    </row>
    <row r="2" ht="16" customHeight="1">
      <c r="A2" s="2" t="inlineStr">
        <is>
          <t>新增会员</t>
        </is>
      </c>
      <c r="B2" s="2" t="inlineStr">
        <is>
          <t>在【会员档案】从第2行开始录入会员基础资料。会员编号必须唯一，如会员复购，则在编号后面-1，-2表示复购次数</t>
        </is>
      </c>
    </row>
    <row r="3">
      <c r="A3" s="2" t="inlineStr">
        <is>
          <t>次卡</t>
        </is>
      </c>
      <c r="B3" s="2" t="inlineStr">
        <is>
          <t>卡种选择“次卡”，填写“总次数”；每次有效上课记录会自动减少剩余次数。</t>
        </is>
      </c>
    </row>
    <row r="4">
      <c r="A4" s="2" t="inlineStr">
        <is>
          <t>期限卡</t>
        </is>
      </c>
      <c r="B4" s="2" t="inlineStr">
        <is>
          <t>卡种选择“期限卡”，填写“有效期至”；系统每天打开表格时自动计算剩余天数。</t>
        </is>
      </c>
    </row>
    <row r="5">
      <c r="A5" s="2" t="inlineStr">
        <is>
          <t>每次上课</t>
        </is>
      </c>
      <c r="B5" s="2" t="inlineStr">
        <is>
          <t>只在【上课记录】增加一行：会员编号+上课日期+上课时间+课程名称。是否有效扣卡保持“是”。</t>
        </is>
      </c>
    </row>
    <row r="6">
      <c r="A6" s="2" t="inlineStr">
        <is>
          <t>沉睡客户</t>
        </is>
      </c>
      <c r="B6" s="2" t="inlineStr">
        <is>
          <t>最后一次有效上课日期距今天≥10天，会员自动标记为“沉睡客户”，整行自动标记红色</t>
        </is>
      </c>
    </row>
    <row r="7">
      <c r="A7" s="2" t="inlineStr">
        <is>
          <t>预警客户</t>
        </is>
      </c>
      <c r="B7" s="2" t="inlineStr">
        <is>
          <t>连续7-9天未上课，自动标记“预警客户”，整行自动标记黄色，建议老师主动联系。</t>
        </is>
      </c>
    </row>
    <row r="8">
      <c r="A8" s="2" t="inlineStr">
        <is>
          <t>实时看板</t>
        </is>
      </c>
      <c r="B8" s="2" t="inlineStr">
        <is>
          <t>查看总会员、预警、沉睡、到期、今日上课人次等核心数据。</t>
        </is>
      </c>
    </row>
    <row r="9">
      <c r="A9" s="2" t="inlineStr">
        <is>
          <t>建议管理规则</t>
        </is>
      </c>
      <c r="B9" s="2" t="inlineStr">
        <is>
          <t>老师每天只做“上课记录”；店长每天看“实时看板”；客服/老师跟进“沉睡客户跟进”。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2026-08-10T08:27:00Z</dcterms:created>
  <dcterms:modified xsi:type="dcterms:W3CDTF">2026-08-28T14:15:56Z</dcterms:modified>
  <cp:lastModifiedBy>Mivimcrs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860FDF6BB549425DB8278AF3B4809049_13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